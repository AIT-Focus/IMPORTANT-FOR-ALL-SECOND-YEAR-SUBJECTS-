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GLITZ PHARMA\Glitz Pharma\Sales &amp; TGT\TITANs National Sales\TITAN TGT 2026-27\TGT 2026-27 ASM WISE\"/>
    </mc:Choice>
  </mc:AlternateContent>
  <xr:revisionPtr revIDLastSave="0" documentId="13_ncr:1_{6AA300A9-7502-48CD-87CB-074989520B12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JPMC" sheetId="1" r:id="rId1"/>
    <sheet name="GULSHAN" sheetId="5" r:id="rId2"/>
    <sheet name="NAZIMABAD" sheetId="2" r:id="rId3"/>
    <sheet name="KHI CIVIL" sheetId="3" r:id="rId4"/>
    <sheet name="KORANGI" sheetId="4" r:id="rId5"/>
    <sheet name="KPH" sheetId="7" r:id="rId6"/>
    <sheet name="ASM KHI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7" i="6" l="1"/>
  <c r="M27" i="6"/>
  <c r="L27" i="6"/>
  <c r="K27" i="6"/>
  <c r="J27" i="6"/>
  <c r="I27" i="6"/>
  <c r="H27" i="6"/>
  <c r="G27" i="6"/>
  <c r="F27" i="6"/>
  <c r="E27" i="6"/>
  <c r="D27" i="6"/>
  <c r="C27" i="6"/>
  <c r="N26" i="6"/>
  <c r="M26" i="6"/>
  <c r="L26" i="6"/>
  <c r="K26" i="6"/>
  <c r="J26" i="6"/>
  <c r="I26" i="6"/>
  <c r="H26" i="6"/>
  <c r="G26" i="6"/>
  <c r="F26" i="6"/>
  <c r="E26" i="6"/>
  <c r="D26" i="6"/>
  <c r="C26" i="6"/>
  <c r="N25" i="6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N22" i="6"/>
  <c r="M22" i="6"/>
  <c r="L22" i="6"/>
  <c r="K22" i="6"/>
  <c r="J22" i="6"/>
  <c r="I22" i="6"/>
  <c r="H22" i="6"/>
  <c r="G22" i="6"/>
  <c r="F22" i="6"/>
  <c r="E22" i="6"/>
  <c r="D22" i="6"/>
  <c r="C22" i="6"/>
  <c r="N21" i="6"/>
  <c r="M21" i="6"/>
  <c r="L21" i="6"/>
  <c r="K21" i="6"/>
  <c r="J21" i="6"/>
  <c r="I21" i="6"/>
  <c r="H21" i="6"/>
  <c r="G21" i="6"/>
  <c r="F21" i="6"/>
  <c r="E21" i="6"/>
  <c r="D21" i="6"/>
  <c r="C21" i="6"/>
  <c r="N20" i="6"/>
  <c r="M20" i="6"/>
  <c r="L20" i="6"/>
  <c r="K20" i="6"/>
  <c r="J20" i="6"/>
  <c r="I20" i="6"/>
  <c r="H20" i="6"/>
  <c r="G20" i="6"/>
  <c r="F20" i="6"/>
  <c r="E20" i="6"/>
  <c r="D20" i="6"/>
  <c r="C20" i="6"/>
  <c r="N19" i="6"/>
  <c r="M19" i="6"/>
  <c r="L19" i="6"/>
  <c r="K19" i="6"/>
  <c r="J19" i="6"/>
  <c r="I19" i="6"/>
  <c r="H19" i="6"/>
  <c r="G19" i="6"/>
  <c r="F19" i="6"/>
  <c r="E19" i="6"/>
  <c r="D19" i="6"/>
  <c r="C19" i="6"/>
  <c r="N18" i="6"/>
  <c r="M18" i="6"/>
  <c r="L18" i="6"/>
  <c r="K18" i="6"/>
  <c r="J18" i="6"/>
  <c r="I18" i="6"/>
  <c r="H18" i="6"/>
  <c r="G18" i="6"/>
  <c r="F18" i="6"/>
  <c r="E18" i="6"/>
  <c r="D18" i="6"/>
  <c r="C18" i="6"/>
  <c r="N17" i="6"/>
  <c r="M17" i="6"/>
  <c r="L17" i="6"/>
  <c r="K17" i="6"/>
  <c r="J17" i="6"/>
  <c r="I17" i="6"/>
  <c r="H17" i="6"/>
  <c r="G17" i="6"/>
  <c r="F17" i="6"/>
  <c r="E17" i="6"/>
  <c r="D17" i="6"/>
  <c r="C17" i="6"/>
  <c r="N16" i="6"/>
  <c r="M16" i="6"/>
  <c r="L16" i="6"/>
  <c r="K16" i="6"/>
  <c r="J16" i="6"/>
  <c r="I16" i="6"/>
  <c r="H16" i="6"/>
  <c r="G16" i="6"/>
  <c r="F16" i="6"/>
  <c r="E16" i="6"/>
  <c r="D16" i="6"/>
  <c r="C16" i="6"/>
  <c r="N15" i="6"/>
  <c r="M15" i="6"/>
  <c r="L15" i="6"/>
  <c r="K15" i="6"/>
  <c r="J15" i="6"/>
  <c r="I15" i="6"/>
  <c r="H15" i="6"/>
  <c r="G15" i="6"/>
  <c r="F15" i="6"/>
  <c r="E15" i="6"/>
  <c r="D15" i="6"/>
  <c r="C15" i="6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F12" i="6"/>
  <c r="E12" i="6"/>
  <c r="D12" i="6"/>
  <c r="C12" i="6"/>
  <c r="N11" i="6"/>
  <c r="M11" i="6"/>
  <c r="L11" i="6"/>
  <c r="K11" i="6"/>
  <c r="J11" i="6"/>
  <c r="I11" i="6"/>
  <c r="H11" i="6"/>
  <c r="G11" i="6"/>
  <c r="F11" i="6"/>
  <c r="E11" i="6"/>
  <c r="D11" i="6"/>
  <c r="C11" i="6"/>
  <c r="N10" i="6"/>
  <c r="M10" i="6"/>
  <c r="L10" i="6"/>
  <c r="K10" i="6"/>
  <c r="J10" i="6"/>
  <c r="I10" i="6"/>
  <c r="H10" i="6"/>
  <c r="G10" i="6"/>
  <c r="F10" i="6"/>
  <c r="E10" i="6"/>
  <c r="D10" i="6"/>
  <c r="C10" i="6"/>
  <c r="N9" i="6"/>
  <c r="M9" i="6"/>
  <c r="L9" i="6"/>
  <c r="K9" i="6"/>
  <c r="J9" i="6"/>
  <c r="I9" i="6"/>
  <c r="H9" i="6"/>
  <c r="G9" i="6"/>
  <c r="F9" i="6"/>
  <c r="E9" i="6"/>
  <c r="D9" i="6"/>
  <c r="C9" i="6"/>
  <c r="N8" i="6"/>
  <c r="M8" i="6"/>
  <c r="L8" i="6"/>
  <c r="K8" i="6"/>
  <c r="J8" i="6"/>
  <c r="I8" i="6"/>
  <c r="H8" i="6"/>
  <c r="G8" i="6"/>
  <c r="F8" i="6"/>
  <c r="E8" i="6"/>
  <c r="D8" i="6"/>
  <c r="C8" i="6"/>
  <c r="N7" i="6"/>
  <c r="M7" i="6"/>
  <c r="L7" i="6"/>
  <c r="K7" i="6"/>
  <c r="J7" i="6"/>
  <c r="I7" i="6"/>
  <c r="H7" i="6"/>
  <c r="G7" i="6"/>
  <c r="F7" i="6"/>
  <c r="E7" i="6"/>
  <c r="D7" i="6"/>
  <c r="C7" i="6"/>
  <c r="N6" i="6"/>
  <c r="M6" i="6"/>
  <c r="L6" i="6"/>
  <c r="K6" i="6"/>
  <c r="J6" i="6"/>
  <c r="I6" i="6"/>
  <c r="H6" i="6"/>
  <c r="G6" i="6"/>
  <c r="F6" i="6"/>
  <c r="E6" i="6"/>
  <c r="D6" i="6"/>
  <c r="C6" i="6"/>
  <c r="N5" i="6"/>
  <c r="M5" i="6"/>
  <c r="L5" i="6"/>
  <c r="K5" i="6"/>
  <c r="J5" i="6"/>
  <c r="I5" i="6"/>
  <c r="H5" i="6"/>
  <c r="G5" i="6"/>
  <c r="F5" i="6"/>
  <c r="E5" i="6"/>
  <c r="D5" i="6"/>
  <c r="C5" i="6"/>
  <c r="L34" i="7"/>
  <c r="H34" i="7"/>
  <c r="D34" i="7"/>
  <c r="N33" i="7"/>
  <c r="N34" i="7" s="1"/>
  <c r="M33" i="7"/>
  <c r="M34" i="7" s="1"/>
  <c r="L33" i="7"/>
  <c r="K33" i="7"/>
  <c r="K34" i="7" s="1"/>
  <c r="I33" i="7"/>
  <c r="I34" i="7" s="1"/>
  <c r="H33" i="7"/>
  <c r="G33" i="7"/>
  <c r="G34" i="7" s="1"/>
  <c r="F33" i="7"/>
  <c r="F34" i="7" s="1"/>
  <c r="E33" i="7"/>
  <c r="E34" i="7" s="1"/>
  <c r="D33" i="7"/>
  <c r="C33" i="7"/>
  <c r="C34" i="7" s="1"/>
  <c r="J27" i="7"/>
  <c r="O27" i="7" s="1"/>
  <c r="J26" i="7"/>
  <c r="O26" i="7" s="1"/>
  <c r="J25" i="7"/>
  <c r="O25" i="7" s="1"/>
  <c r="J24" i="7"/>
  <c r="O24" i="7" s="1"/>
  <c r="J23" i="7"/>
  <c r="O23" i="7" s="1"/>
  <c r="J22" i="7"/>
  <c r="O22" i="7" s="1"/>
  <c r="J21" i="7"/>
  <c r="O21" i="7" s="1"/>
  <c r="J20" i="7"/>
  <c r="O20" i="7" s="1"/>
  <c r="J19" i="7"/>
  <c r="O19" i="7" s="1"/>
  <c r="J18" i="7"/>
  <c r="O18" i="7" s="1"/>
  <c r="J17" i="7"/>
  <c r="O17" i="7" s="1"/>
  <c r="J16" i="7"/>
  <c r="O16" i="7" s="1"/>
  <c r="J15" i="7"/>
  <c r="O15" i="7" s="1"/>
  <c r="J14" i="7"/>
  <c r="O14" i="7" s="1"/>
  <c r="J13" i="7"/>
  <c r="O13" i="7" s="1"/>
  <c r="J12" i="7"/>
  <c r="O12" i="7" s="1"/>
  <c r="J11" i="7"/>
  <c r="O11" i="7" s="1"/>
  <c r="J10" i="7"/>
  <c r="O10" i="7" s="1"/>
  <c r="J9" i="7"/>
  <c r="O9" i="7" s="1"/>
  <c r="J8" i="7"/>
  <c r="O8" i="7" s="1"/>
  <c r="J7" i="7"/>
  <c r="O7" i="7" s="1"/>
  <c r="J6" i="7"/>
  <c r="O6" i="7" s="1"/>
  <c r="J5" i="7"/>
  <c r="J33" i="7" s="1"/>
  <c r="J34" i="7" s="1"/>
  <c r="L34" i="4"/>
  <c r="H34" i="4"/>
  <c r="D34" i="4"/>
  <c r="N33" i="4"/>
  <c r="N34" i="4" s="1"/>
  <c r="M33" i="4"/>
  <c r="M34" i="4" s="1"/>
  <c r="L33" i="4"/>
  <c r="K33" i="4"/>
  <c r="K34" i="4" s="1"/>
  <c r="I33" i="4"/>
  <c r="I34" i="4" s="1"/>
  <c r="H33" i="4"/>
  <c r="G33" i="4"/>
  <c r="G34" i="4" s="1"/>
  <c r="F33" i="4"/>
  <c r="F34" i="4" s="1"/>
  <c r="E33" i="4"/>
  <c r="E34" i="4" s="1"/>
  <c r="D33" i="4"/>
  <c r="C33" i="4"/>
  <c r="C34" i="4" s="1"/>
  <c r="J27" i="4"/>
  <c r="O27" i="4" s="1"/>
  <c r="J26" i="4"/>
  <c r="O26" i="4" s="1"/>
  <c r="J25" i="4"/>
  <c r="O25" i="4" s="1"/>
  <c r="J24" i="4"/>
  <c r="O24" i="4" s="1"/>
  <c r="J23" i="4"/>
  <c r="O23" i="4" s="1"/>
  <c r="J22" i="4"/>
  <c r="O22" i="4" s="1"/>
  <c r="J21" i="4"/>
  <c r="O21" i="4" s="1"/>
  <c r="J20" i="4"/>
  <c r="O20" i="4" s="1"/>
  <c r="J19" i="4"/>
  <c r="O19" i="4" s="1"/>
  <c r="J18" i="4"/>
  <c r="O18" i="4" s="1"/>
  <c r="J17" i="4"/>
  <c r="O17" i="4" s="1"/>
  <c r="J16" i="4"/>
  <c r="O16" i="4" s="1"/>
  <c r="J15" i="4"/>
  <c r="O15" i="4" s="1"/>
  <c r="J14" i="4"/>
  <c r="O14" i="4" s="1"/>
  <c r="J13" i="4"/>
  <c r="O13" i="4" s="1"/>
  <c r="O12" i="4"/>
  <c r="J12" i="4"/>
  <c r="J11" i="4"/>
  <c r="O11" i="4" s="1"/>
  <c r="O10" i="4"/>
  <c r="J10" i="4"/>
  <c r="J9" i="4"/>
  <c r="O9" i="4" s="1"/>
  <c r="O8" i="4"/>
  <c r="J8" i="4"/>
  <c r="J7" i="4"/>
  <c r="O7" i="4" s="1"/>
  <c r="O6" i="4"/>
  <c r="J6" i="4"/>
  <c r="J5" i="4"/>
  <c r="J33" i="4" s="1"/>
  <c r="J34" i="4" s="1"/>
  <c r="L34" i="3"/>
  <c r="H34" i="3"/>
  <c r="D34" i="3"/>
  <c r="N33" i="3"/>
  <c r="N34" i="3" s="1"/>
  <c r="M33" i="3"/>
  <c r="M34" i="3" s="1"/>
  <c r="L33" i="3"/>
  <c r="K33" i="3"/>
  <c r="K34" i="3" s="1"/>
  <c r="I33" i="3"/>
  <c r="I34" i="3" s="1"/>
  <c r="H33" i="3"/>
  <c r="G33" i="3"/>
  <c r="G34" i="3" s="1"/>
  <c r="F33" i="3"/>
  <c r="F34" i="3" s="1"/>
  <c r="E33" i="3"/>
  <c r="E34" i="3" s="1"/>
  <c r="D33" i="3"/>
  <c r="C33" i="3"/>
  <c r="C34" i="3" s="1"/>
  <c r="J27" i="3"/>
  <c r="O27" i="3" s="1"/>
  <c r="J26" i="3"/>
  <c r="O26" i="3" s="1"/>
  <c r="J25" i="3"/>
  <c r="O25" i="3" s="1"/>
  <c r="O24" i="3"/>
  <c r="J24" i="3"/>
  <c r="J23" i="3"/>
  <c r="O23" i="3" s="1"/>
  <c r="O22" i="3"/>
  <c r="J22" i="3"/>
  <c r="J21" i="3"/>
  <c r="O21" i="3" s="1"/>
  <c r="O20" i="3"/>
  <c r="J20" i="3"/>
  <c r="J19" i="3"/>
  <c r="O19" i="3" s="1"/>
  <c r="O18" i="3"/>
  <c r="J18" i="3"/>
  <c r="J17" i="3"/>
  <c r="O17" i="3" s="1"/>
  <c r="O16" i="3"/>
  <c r="J16" i="3"/>
  <c r="J15" i="3"/>
  <c r="O15" i="3" s="1"/>
  <c r="O14" i="3"/>
  <c r="J14" i="3"/>
  <c r="J13" i="3"/>
  <c r="O13" i="3" s="1"/>
  <c r="O12" i="3"/>
  <c r="J12" i="3"/>
  <c r="J11" i="3"/>
  <c r="O11" i="3" s="1"/>
  <c r="O10" i="3"/>
  <c r="J10" i="3"/>
  <c r="J9" i="3"/>
  <c r="O9" i="3" s="1"/>
  <c r="O8" i="3"/>
  <c r="J8" i="3"/>
  <c r="J7" i="3"/>
  <c r="O7" i="3" s="1"/>
  <c r="O6" i="3"/>
  <c r="J6" i="3"/>
  <c r="J5" i="3"/>
  <c r="J33" i="3" s="1"/>
  <c r="J34" i="3" s="1"/>
  <c r="L34" i="2"/>
  <c r="H34" i="2"/>
  <c r="D34" i="2"/>
  <c r="N33" i="2"/>
  <c r="N34" i="2" s="1"/>
  <c r="M33" i="2"/>
  <c r="M34" i="2" s="1"/>
  <c r="L33" i="2"/>
  <c r="K33" i="2"/>
  <c r="K34" i="2" s="1"/>
  <c r="I33" i="2"/>
  <c r="I34" i="2" s="1"/>
  <c r="H33" i="2"/>
  <c r="G33" i="2"/>
  <c r="G34" i="2" s="1"/>
  <c r="F33" i="2"/>
  <c r="F34" i="2" s="1"/>
  <c r="E33" i="2"/>
  <c r="E34" i="2" s="1"/>
  <c r="D33" i="2"/>
  <c r="C33" i="2"/>
  <c r="C34" i="2" s="1"/>
  <c r="J27" i="2"/>
  <c r="O27" i="2" s="1"/>
  <c r="J26" i="2"/>
  <c r="O26" i="2" s="1"/>
  <c r="J25" i="2"/>
  <c r="O25" i="2" s="1"/>
  <c r="J24" i="2"/>
  <c r="O24" i="2" s="1"/>
  <c r="J23" i="2"/>
  <c r="O23" i="2" s="1"/>
  <c r="J22" i="2"/>
  <c r="O22" i="2" s="1"/>
  <c r="J21" i="2"/>
  <c r="O21" i="2" s="1"/>
  <c r="J20" i="2"/>
  <c r="O20" i="2" s="1"/>
  <c r="J19" i="2"/>
  <c r="O19" i="2" s="1"/>
  <c r="J18" i="2"/>
  <c r="O18" i="2" s="1"/>
  <c r="J17" i="2"/>
  <c r="O17" i="2" s="1"/>
  <c r="J16" i="2"/>
  <c r="O16" i="2" s="1"/>
  <c r="J15" i="2"/>
  <c r="O15" i="2" s="1"/>
  <c r="J14" i="2"/>
  <c r="O14" i="2" s="1"/>
  <c r="J13" i="2"/>
  <c r="O13" i="2" s="1"/>
  <c r="J12" i="2"/>
  <c r="O12" i="2" s="1"/>
  <c r="J11" i="2"/>
  <c r="O11" i="2" s="1"/>
  <c r="J10" i="2"/>
  <c r="O10" i="2" s="1"/>
  <c r="J9" i="2"/>
  <c r="O9" i="2" s="1"/>
  <c r="J8" i="2"/>
  <c r="O8" i="2" s="1"/>
  <c r="J7" i="2"/>
  <c r="O7" i="2" s="1"/>
  <c r="J6" i="2"/>
  <c r="O6" i="2" s="1"/>
  <c r="J5" i="2"/>
  <c r="J33" i="2" s="1"/>
  <c r="J34" i="2" s="1"/>
  <c r="L34" i="5"/>
  <c r="H34" i="5"/>
  <c r="D34" i="5"/>
  <c r="N33" i="5"/>
  <c r="N34" i="5" s="1"/>
  <c r="M33" i="5"/>
  <c r="M34" i="5" s="1"/>
  <c r="L33" i="5"/>
  <c r="K33" i="5"/>
  <c r="K34" i="5" s="1"/>
  <c r="I33" i="5"/>
  <c r="I34" i="5" s="1"/>
  <c r="H33" i="5"/>
  <c r="G33" i="5"/>
  <c r="G34" i="5" s="1"/>
  <c r="F33" i="5"/>
  <c r="F34" i="5" s="1"/>
  <c r="E33" i="5"/>
  <c r="E34" i="5" s="1"/>
  <c r="D33" i="5"/>
  <c r="C33" i="5"/>
  <c r="C34" i="5" s="1"/>
  <c r="J27" i="5"/>
  <c r="O27" i="5" s="1"/>
  <c r="J26" i="5"/>
  <c r="O26" i="5" s="1"/>
  <c r="J25" i="5"/>
  <c r="O25" i="5" s="1"/>
  <c r="J24" i="5"/>
  <c r="O24" i="5" s="1"/>
  <c r="J23" i="5"/>
  <c r="O23" i="5" s="1"/>
  <c r="J22" i="5"/>
  <c r="O22" i="5" s="1"/>
  <c r="J21" i="5"/>
  <c r="O21" i="5" s="1"/>
  <c r="J20" i="5"/>
  <c r="O20" i="5" s="1"/>
  <c r="J19" i="5"/>
  <c r="O19" i="5" s="1"/>
  <c r="J18" i="5"/>
  <c r="O18" i="5" s="1"/>
  <c r="J17" i="5"/>
  <c r="O17" i="5" s="1"/>
  <c r="J16" i="5"/>
  <c r="O16" i="5" s="1"/>
  <c r="J15" i="5"/>
  <c r="O15" i="5" s="1"/>
  <c r="J14" i="5"/>
  <c r="O14" i="5" s="1"/>
  <c r="J13" i="5"/>
  <c r="O13" i="5" s="1"/>
  <c r="J12" i="5"/>
  <c r="O12" i="5" s="1"/>
  <c r="J11" i="5"/>
  <c r="O11" i="5" s="1"/>
  <c r="J10" i="5"/>
  <c r="O10" i="5" s="1"/>
  <c r="J9" i="5"/>
  <c r="O9" i="5" s="1"/>
  <c r="J8" i="5"/>
  <c r="O8" i="5" s="1"/>
  <c r="J7" i="5"/>
  <c r="O7" i="5" s="1"/>
  <c r="J6" i="5"/>
  <c r="O6" i="5" s="1"/>
  <c r="J5" i="5"/>
  <c r="J33" i="5" s="1"/>
  <c r="J34" i="5" s="1"/>
  <c r="L34" i="1"/>
  <c r="H34" i="1"/>
  <c r="D34" i="1"/>
  <c r="N33" i="1"/>
  <c r="N34" i="1" s="1"/>
  <c r="M33" i="1"/>
  <c r="M34" i="1" s="1"/>
  <c r="L33" i="1"/>
  <c r="K33" i="1"/>
  <c r="K34" i="1" s="1"/>
  <c r="I33" i="1"/>
  <c r="I34" i="1" s="1"/>
  <c r="H33" i="1"/>
  <c r="G33" i="1"/>
  <c r="G34" i="1" s="1"/>
  <c r="F33" i="1"/>
  <c r="F34" i="1" s="1"/>
  <c r="E33" i="1"/>
  <c r="E34" i="1" s="1"/>
  <c r="D33" i="1"/>
  <c r="C33" i="1"/>
  <c r="C34" i="1" s="1"/>
  <c r="J27" i="1"/>
  <c r="O26" i="1"/>
  <c r="J26" i="1"/>
  <c r="J25" i="1"/>
  <c r="O24" i="1"/>
  <c r="J24" i="1"/>
  <c r="J23" i="1"/>
  <c r="O22" i="1"/>
  <c r="J22" i="1"/>
  <c r="J21" i="1"/>
  <c r="O20" i="1"/>
  <c r="J20" i="1"/>
  <c r="J19" i="1"/>
  <c r="O18" i="1"/>
  <c r="J18" i="1"/>
  <c r="J17" i="1"/>
  <c r="O16" i="1"/>
  <c r="J16" i="1"/>
  <c r="J15" i="1"/>
  <c r="O14" i="1"/>
  <c r="J14" i="1"/>
  <c r="J13" i="1"/>
  <c r="O12" i="1"/>
  <c r="J12" i="1"/>
  <c r="J11" i="1"/>
  <c r="O10" i="1"/>
  <c r="J10" i="1"/>
  <c r="J9" i="1"/>
  <c r="O8" i="1"/>
  <c r="J8" i="1"/>
  <c r="J7" i="1"/>
  <c r="O6" i="1"/>
  <c r="J6" i="1"/>
  <c r="J5" i="1"/>
  <c r="N32" i="6"/>
  <c r="M32" i="6"/>
  <c r="L32" i="6"/>
  <c r="K32" i="6"/>
  <c r="J32" i="6"/>
  <c r="I32" i="6"/>
  <c r="H32" i="6"/>
  <c r="G32" i="6"/>
  <c r="F32" i="6"/>
  <c r="E32" i="6"/>
  <c r="D32" i="6"/>
  <c r="C32" i="6"/>
  <c r="N31" i="6"/>
  <c r="M31" i="6"/>
  <c r="L31" i="6"/>
  <c r="K31" i="6"/>
  <c r="J31" i="6"/>
  <c r="I31" i="6"/>
  <c r="H31" i="6"/>
  <c r="G31" i="6"/>
  <c r="F31" i="6"/>
  <c r="E31" i="6"/>
  <c r="D31" i="6"/>
  <c r="C31" i="6"/>
  <c r="N30" i="6"/>
  <c r="M30" i="6"/>
  <c r="L30" i="6"/>
  <c r="K30" i="6"/>
  <c r="J30" i="6"/>
  <c r="I30" i="6"/>
  <c r="H30" i="6"/>
  <c r="G30" i="6"/>
  <c r="F30" i="6"/>
  <c r="E30" i="6"/>
  <c r="D30" i="6"/>
  <c r="C30" i="6"/>
  <c r="N29" i="6"/>
  <c r="M29" i="6"/>
  <c r="L29" i="6"/>
  <c r="K29" i="6"/>
  <c r="J29" i="6"/>
  <c r="I29" i="6"/>
  <c r="H29" i="6"/>
  <c r="G29" i="6"/>
  <c r="F29" i="6"/>
  <c r="E29" i="6"/>
  <c r="D29" i="6"/>
  <c r="C29" i="6"/>
  <c r="N28" i="6"/>
  <c r="M28" i="6"/>
  <c r="L28" i="6"/>
  <c r="K28" i="6"/>
  <c r="J28" i="6"/>
  <c r="I28" i="6"/>
  <c r="H28" i="6"/>
  <c r="G28" i="6"/>
  <c r="F28" i="6"/>
  <c r="E28" i="6"/>
  <c r="D28" i="6"/>
  <c r="C28" i="6"/>
  <c r="O5" i="7" l="1"/>
  <c r="O33" i="7" s="1"/>
  <c r="O34" i="7" s="1"/>
  <c r="O5" i="4"/>
  <c r="O33" i="4" s="1"/>
  <c r="O34" i="4" s="1"/>
  <c r="O5" i="3"/>
  <c r="O33" i="3" s="1"/>
  <c r="O34" i="3" s="1"/>
  <c r="O5" i="2"/>
  <c r="O33" i="2" s="1"/>
  <c r="O34" i="2" s="1"/>
  <c r="O18" i="6"/>
  <c r="O26" i="6"/>
  <c r="O5" i="6"/>
  <c r="O13" i="6"/>
  <c r="O5" i="5"/>
  <c r="O33" i="5" s="1"/>
  <c r="O34" i="5" s="1"/>
  <c r="O9" i="6"/>
  <c r="O17" i="6"/>
  <c r="O7" i="6"/>
  <c r="O23" i="6"/>
  <c r="O5" i="1"/>
  <c r="O7" i="1"/>
  <c r="O9" i="1"/>
  <c r="O11" i="1"/>
  <c r="O13" i="1"/>
  <c r="O15" i="1"/>
  <c r="O17" i="1"/>
  <c r="O19" i="1"/>
  <c r="O21" i="1"/>
  <c r="O23" i="1"/>
  <c r="O25" i="1"/>
  <c r="O27" i="1"/>
  <c r="J33" i="1"/>
  <c r="J34" i="1" s="1"/>
  <c r="V31" i="6"/>
  <c r="O15" i="6"/>
  <c r="O19" i="6"/>
  <c r="Y31" i="6"/>
  <c r="O27" i="6"/>
  <c r="O30" i="6"/>
  <c r="O31" i="6"/>
  <c r="O25" i="6"/>
  <c r="Q31" i="6"/>
  <c r="U31" i="6"/>
  <c r="P31" i="6"/>
  <c r="T31" i="6"/>
  <c r="X31" i="6"/>
  <c r="O32" i="6"/>
  <c r="R31" i="6"/>
  <c r="Z31" i="6"/>
  <c r="S31" i="6"/>
  <c r="W31" i="6"/>
  <c r="O28" i="6"/>
  <c r="O10" i="6"/>
  <c r="O12" i="6"/>
  <c r="O14" i="6"/>
  <c r="O29" i="6"/>
  <c r="G33" i="6"/>
  <c r="G34" i="6" s="1"/>
  <c r="O6" i="6"/>
  <c r="O8" i="6"/>
  <c r="E33" i="6"/>
  <c r="E34" i="6" s="1"/>
  <c r="O22" i="6"/>
  <c r="O24" i="6"/>
  <c r="D33" i="6"/>
  <c r="D34" i="6" s="1"/>
  <c r="L33" i="6"/>
  <c r="L34" i="6" s="1"/>
  <c r="M33" i="6"/>
  <c r="M34" i="6" s="1"/>
  <c r="K33" i="6"/>
  <c r="K34" i="6" s="1"/>
  <c r="F33" i="6"/>
  <c r="F34" i="6" s="1"/>
  <c r="N33" i="6"/>
  <c r="N34" i="6" s="1"/>
  <c r="C33" i="6"/>
  <c r="C34" i="6" s="1"/>
  <c r="O16" i="6"/>
  <c r="O20" i="6"/>
  <c r="O33" i="1" l="1"/>
  <c r="O34" i="1" s="1"/>
  <c r="O21" i="6"/>
  <c r="O11" i="6"/>
  <c r="I33" i="6"/>
  <c r="I34" i="6" s="1"/>
  <c r="H33" i="6"/>
  <c r="H34" i="6" s="1"/>
  <c r="J33" i="6"/>
  <c r="J34" i="6" s="1"/>
  <c r="O33" i="6"/>
  <c r="O34" i="6" s="1"/>
</calcChain>
</file>

<file path=xl/sharedStrings.xml><?xml version="1.0" encoding="utf-8"?>
<sst xmlns="http://schemas.openxmlformats.org/spreadsheetml/2006/main" count="336" uniqueCount="58">
  <si>
    <t xml:space="preserve">Targets July-2026  TO June,2027 (Titan Group)  </t>
  </si>
  <si>
    <t>PRODUCT NAME</t>
  </si>
  <si>
    <t>EX-FACTORY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</si>
  <si>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</si>
  <si>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</si>
  <si>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</si>
  <si>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</si>
  <si>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</si>
  <si>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</si>
  <si>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</si>
  <si>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</si>
  <si>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</si>
  <si>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APRIL</t>
  </si>
  <si>
    <t>MAY</t>
  </si>
  <si>
    <t>JUNE</t>
  </si>
  <si>
    <t>TOTAL</t>
  </si>
  <si>
    <t>Glipin 25mg</t>
  </si>
  <si>
    <t>Glipin 100mg</t>
  </si>
  <si>
    <t>Lamepil 50 mg</t>
  </si>
  <si>
    <t>Lamepil 100 mg</t>
  </si>
  <si>
    <t>Mitaz 15mg Tablets</t>
  </si>
  <si>
    <t>Mitaz 30mg Tablets</t>
  </si>
  <si>
    <t>Mitaz 45mg Tablets</t>
  </si>
  <si>
    <t>Glitpam 20  mg Tab</t>
  </si>
  <si>
    <t>Procye 5 mg</t>
  </si>
  <si>
    <t xml:space="preserve">Arigit Tablet 10mg </t>
  </si>
  <si>
    <t xml:space="preserve">Arigit Tablet 15mg </t>
  </si>
  <si>
    <t>Eszopic 1mg</t>
  </si>
  <si>
    <t>Eszopic 2mg</t>
  </si>
  <si>
    <t>Eszopic 3mg</t>
  </si>
  <si>
    <t>Vediget 6.25 mg</t>
  </si>
  <si>
    <t>Vediget 12.5 mg</t>
  </si>
  <si>
    <t>Vediget 25 mg</t>
  </si>
  <si>
    <t>Zyme 100mg</t>
  </si>
  <si>
    <t xml:space="preserve">Doxiget 2 mg </t>
  </si>
  <si>
    <t xml:space="preserve">Doxiget 4 mg </t>
  </si>
  <si>
    <t>Zipracid 40mg</t>
  </si>
  <si>
    <t>Zipracid 60mg</t>
  </si>
  <si>
    <t>Vasipro Syp</t>
  </si>
  <si>
    <t>Lacogit 50 mg</t>
  </si>
  <si>
    <t>Lacogit 100 mg</t>
  </si>
  <si>
    <t>Oxicarb 150 mg</t>
  </si>
  <si>
    <t>Oxicarb 300 mg</t>
  </si>
  <si>
    <t>Oxicarb 600 mg</t>
  </si>
  <si>
    <t>Value  on EX Factory</t>
  </si>
  <si>
    <t>Value on T.P</t>
  </si>
  <si>
    <t>Territory:   KARACHI</t>
  </si>
  <si>
    <t xml:space="preserve"> Name:  RIZWAN SHEIKH</t>
  </si>
  <si>
    <t xml:space="preserve"> Name:  DANISH MIR</t>
  </si>
  <si>
    <t xml:space="preserve">Territory:   KARACHI JPMC </t>
  </si>
  <si>
    <t xml:space="preserve"> Name: VACANT</t>
  </si>
  <si>
    <t>Territory:   Gulshan + Johar</t>
  </si>
  <si>
    <t xml:space="preserve"> Name: Shahid Shahab</t>
  </si>
  <si>
    <t>Territory:   Nazimabad</t>
  </si>
  <si>
    <t>Territory:  Karachi  Civil Hospital</t>
  </si>
  <si>
    <t xml:space="preserve"> Name: </t>
  </si>
  <si>
    <t>Territory:  Karachi  KORANGI</t>
  </si>
  <si>
    <t>Territory:  KPH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</si>
</sst>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name val="Arial"/>
      <family val="2"/>
    </font>
    <font>
      <b/>
      <sz val="20"/>
      <name val="Calibri"/>
      <family val="2"/>
      <scheme val="minor"/>
    </font>
    <font>
      <sz val="18"/>
      <name val="Calibri"/>
      <family val="2"/>
      <scheme val="minor"/>
    </font>
    <font>
      <b/>
      <sz val="2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55">
    <xf numFmtId="0" fontId="0" fillId="0" borderId="0" xfId="0"/>
    <xf numFmtId="0" fontId="3" fillId="4" borderId="5" xfId="0" applyFont="1" applyFill="1" applyBorder="1" applyAlignment="1">
      <alignment horizontal="center" vertical="center"/>
    </xf>
    <xf numFmtId="0" fontId="0" fillId="3" borderId="0" xfId="0" applyFill="1"/>
    <xf numFmtId="0" fontId="4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164" fontId="7" fillId="3" borderId="0" xfId="0" applyNumberFormat="1" applyFont="1" applyFill="1"/>
    <xf numFmtId="0" fontId="7" fillId="3" borderId="0" xfId="0" applyFont="1" applyFill="1"/>
    <xf numFmtId="0" fontId="3" fillId="0" borderId="9" xfId="0" applyFont="1" applyBorder="1"/>
    <xf numFmtId="0" fontId="8" fillId="0" borderId="11" xfId="0" applyFont="1" applyBorder="1" applyAlignment="1">
      <alignment horizontal="center"/>
    </xf>
    <xf numFmtId="0" fontId="3" fillId="0" borderId="12" xfId="0" applyFont="1" applyBorder="1"/>
    <xf numFmtId="0" fontId="8" fillId="0" borderId="14" xfId="0" applyFont="1" applyBorder="1" applyAlignment="1">
      <alignment horizontal="center"/>
    </xf>
    <xf numFmtId="0" fontId="7" fillId="0" borderId="0" xfId="0" applyFont="1"/>
    <xf numFmtId="0" fontId="11" fillId="3" borderId="12" xfId="2" applyFont="1" applyFill="1" applyBorder="1" applyAlignment="1">
      <alignment horizontal="left" vertical="center"/>
    </xf>
    <xf numFmtId="0" fontId="12" fillId="3" borderId="14" xfId="2" applyFont="1" applyFill="1" applyBorder="1" applyAlignment="1">
      <alignment horizontal="center" vertical="center" wrapText="1"/>
    </xf>
    <xf numFmtId="2" fontId="12" fillId="3" borderId="14" xfId="2" applyNumberFormat="1" applyFont="1" applyFill="1" applyBorder="1" applyAlignment="1">
      <alignment horizontal="center" vertical="center"/>
    </xf>
    <xf numFmtId="0" fontId="11" fillId="3" borderId="12" xfId="2" applyFont="1" applyFill="1" applyBorder="1" applyAlignment="1">
      <alignment vertical="center"/>
    </xf>
    <xf numFmtId="0" fontId="11" fillId="3" borderId="15" xfId="2" applyFont="1" applyFill="1" applyBorder="1" applyAlignment="1">
      <alignment vertical="center"/>
    </xf>
    <xf numFmtId="2" fontId="12" fillId="3" borderId="16" xfId="2" applyNumberFormat="1" applyFont="1" applyFill="1" applyBorder="1" applyAlignment="1">
      <alignment horizontal="center" vertical="center"/>
    </xf>
    <xf numFmtId="0" fontId="3" fillId="0" borderId="18" xfId="0" applyFont="1" applyBorder="1"/>
    <xf numFmtId="0" fontId="4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/>
    </xf>
    <xf numFmtId="0" fontId="0" fillId="3" borderId="10" xfId="0" applyFill="1" applyBorder="1"/>
    <xf numFmtId="164" fontId="9" fillId="0" borderId="12" xfId="1" applyNumberFormat="1" applyFont="1" applyBorder="1" applyAlignment="1">
      <alignment horizontal="center" vertical="center"/>
    </xf>
    <xf numFmtId="164" fontId="13" fillId="0" borderId="13" xfId="0" applyNumberFormat="1" applyFont="1" applyBorder="1"/>
    <xf numFmtId="0" fontId="8" fillId="0" borderId="14" xfId="0" applyFont="1" applyBorder="1"/>
    <xf numFmtId="0" fontId="9" fillId="0" borderId="15" xfId="0" applyFont="1" applyBorder="1"/>
    <xf numFmtId="164" fontId="13" fillId="0" borderId="17" xfId="0" applyNumberFormat="1" applyFont="1" applyBorder="1"/>
    <xf numFmtId="0" fontId="9" fillId="0" borderId="16" xfId="0" applyFont="1" applyBorder="1"/>
    <xf numFmtId="0" fontId="3" fillId="0" borderId="15" xfId="0" applyFont="1" applyBorder="1"/>
    <xf numFmtId="0" fontId="0" fillId="0" borderId="16" xfId="0" applyBorder="1"/>
    <xf numFmtId="164" fontId="14" fillId="0" borderId="15" xfId="0" applyNumberFormat="1" applyFont="1" applyBorder="1"/>
    <xf numFmtId="164" fontId="14" fillId="0" borderId="16" xfId="0" applyNumberFormat="1" applyFont="1" applyBorder="1"/>
    <xf numFmtId="0" fontId="0" fillId="0" borderId="17" xfId="0" applyBorder="1"/>
    <xf numFmtId="0" fontId="2" fillId="3" borderId="0" xfId="0" applyFont="1" applyFill="1" applyAlignment="1">
      <alignment horizontal="left" vertical="center"/>
    </xf>
    <xf numFmtId="0" fontId="15" fillId="4" borderId="6" xfId="0" applyFont="1" applyFill="1" applyBorder="1" applyAlignment="1">
      <alignment horizontal="center" vertical="center"/>
    </xf>
    <xf numFmtId="0" fontId="0" fillId="0" borderId="2" xfId="0" applyBorder="1"/>
    <xf numFmtId="164" fontId="8" fillId="0" borderId="5" xfId="1" applyNumberFormat="1" applyFont="1" applyBorder="1"/>
    <xf numFmtId="164" fontId="8" fillId="0" borderId="19" xfId="1" applyNumberFormat="1" applyFont="1" applyBorder="1"/>
    <xf numFmtId="164" fontId="8" fillId="0" borderId="18" xfId="1" applyNumberFormat="1" applyFont="1" applyBorder="1"/>
    <xf numFmtId="0" fontId="11" fillId="3" borderId="18" xfId="2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164" fontId="9" fillId="0" borderId="12" xfId="1" applyNumberFormat="1" applyFont="1" applyBorder="1" applyAlignment="1">
      <alignment horizontal="center"/>
    </xf>
    <xf numFmtId="0" fontId="9" fillId="0" borderId="12" xfId="0" applyFont="1" applyBorder="1"/>
    <xf numFmtId="164" fontId="9" fillId="0" borderId="12" xfId="0" applyNumberFormat="1" applyFont="1" applyBorder="1"/>
    <xf numFmtId="164" fontId="14" fillId="0" borderId="5" xfId="1" applyNumberFormat="1" applyFont="1" applyBorder="1"/>
    <xf numFmtId="164" fontId="14" fillId="0" borderId="19" xfId="1" applyNumberFormat="1" applyFont="1" applyBorder="1"/>
    <xf numFmtId="164" fontId="14" fillId="0" borderId="18" xfId="1" applyNumberFormat="1" applyFont="1" applyBorder="1"/>
    <xf numFmtId="0" fontId="2" fillId="3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23DDC663-DF90-4F11-B8D5-79C67ED8B7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"/>
  <sheetViews>
    <sheetView zoomScale="60" zoomScaleNormal="60" workbookViewId="0">
      <selection activeCell="D10" sqref="D10"/>
    </sheetView>
  </sheetViews>
  <sheetFormatPr defaultRowHeight="15" x14ac:dyDescent="0.25"/>
  <cols>
    <col min="1" max="1" width="34.7109375" customWidth="1"/>
    <col min="2" max="2" width="12.28515625" bestFit="1" customWidth="1"/>
    <col min="3" max="14" width="17.7109375" customWidth="1"/>
    <col min="15" max="15" width="23" customWidth="1"/>
  </cols>
  <sheetData>
    <row r="1" spans="1:26" ht="37.5" customHeight="1" thickTop="1" thickBo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spans="1:26" ht="36.75" customHeight="1" thickTop="1" thickBot="1" x14ac:dyDescent="0.3">
      <c r="A2" s="54" t="s">
        <v>48</v>
      </c>
      <c r="B2" s="54"/>
      <c r="C2" s="50"/>
      <c r="D2" s="50"/>
      <c r="E2" s="50"/>
      <c r="F2" s="50"/>
      <c r="G2" s="54" t="s">
        <v>49</v>
      </c>
      <c r="H2" s="54"/>
      <c r="I2" s="54"/>
      <c r="J2" s="54"/>
      <c r="K2" s="54"/>
      <c r="L2" s="54"/>
      <c r="M2" s="54"/>
      <c r="N2" s="54"/>
      <c r="O2" s="54"/>
    </row>
    <row r="3" spans="1:26" s="2" customFormat="1" ht="34.5" customHeight="1" thickTop="1" thickBot="1" x14ac:dyDescent="0.3">
      <c r="A3" s="20" t="s">
        <v>1</v>
      </c>
      <c r="B3" s="2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36" t="s">
        <v>15</v>
      </c>
    </row>
    <row r="4" spans="1:26" s="2" customFormat="1" ht="18" hidden="1" customHeight="1" x14ac:dyDescent="0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2"/>
      <c r="O4" s="23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15" customHeight="1" thickTop="1" x14ac:dyDescent="0.5">
      <c r="A5" s="8" t="s">
        <v>16</v>
      </c>
      <c r="B5" s="9">
        <v>742.05</v>
      </c>
      <c r="C5" s="24">
        <v>23</v>
      </c>
      <c r="D5" s="24">
        <v>25</v>
      </c>
      <c r="E5" s="24">
        <v>27</v>
      </c>
      <c r="F5" s="24">
        <v>29</v>
      </c>
      <c r="G5" s="24">
        <v>31</v>
      </c>
      <c r="H5" s="24">
        <v>33</v>
      </c>
      <c r="I5" s="24">
        <v>35</v>
      </c>
      <c r="J5" s="24">
        <f>I5</f>
        <v>35</v>
      </c>
      <c r="K5" s="24">
        <v>37</v>
      </c>
      <c r="L5" s="24">
        <v>39</v>
      </c>
      <c r="M5" s="24">
        <v>41</v>
      </c>
      <c r="N5" s="24">
        <v>43</v>
      </c>
      <c r="O5" s="25">
        <f>SUM(C5:N5)</f>
        <v>398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15" customHeight="1" x14ac:dyDescent="0.5">
      <c r="A6" s="10" t="s">
        <v>17</v>
      </c>
      <c r="B6" s="11">
        <v>2065.5</v>
      </c>
      <c r="C6" s="24">
        <v>110</v>
      </c>
      <c r="D6" s="24">
        <v>112</v>
      </c>
      <c r="E6" s="24">
        <v>114</v>
      </c>
      <c r="F6" s="24">
        <v>116</v>
      </c>
      <c r="G6" s="24">
        <v>118</v>
      </c>
      <c r="H6" s="24">
        <v>120</v>
      </c>
      <c r="I6" s="24">
        <v>122</v>
      </c>
      <c r="J6" s="24">
        <f t="shared" ref="J6:J27" si="0">I6</f>
        <v>122</v>
      </c>
      <c r="K6" s="24">
        <v>124</v>
      </c>
      <c r="L6" s="24">
        <v>126</v>
      </c>
      <c r="M6" s="24">
        <v>128</v>
      </c>
      <c r="N6" s="24">
        <v>130</v>
      </c>
      <c r="O6" s="25">
        <f t="shared" ref="O6:O27" si="1">SUM(C6:N6)</f>
        <v>1442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15" customHeight="1" x14ac:dyDescent="0.5">
      <c r="A7" s="10" t="s">
        <v>18</v>
      </c>
      <c r="B7" s="26">
        <v>600.37</v>
      </c>
      <c r="C7" s="44">
        <v>10</v>
      </c>
      <c r="D7" s="44">
        <v>12</v>
      </c>
      <c r="E7" s="44">
        <v>14</v>
      </c>
      <c r="F7" s="44">
        <v>16</v>
      </c>
      <c r="G7" s="44">
        <v>18</v>
      </c>
      <c r="H7" s="44">
        <v>20</v>
      </c>
      <c r="I7" s="44">
        <v>22</v>
      </c>
      <c r="J7" s="24">
        <f t="shared" si="0"/>
        <v>22</v>
      </c>
      <c r="K7" s="44">
        <v>24</v>
      </c>
      <c r="L7" s="44">
        <v>26</v>
      </c>
      <c r="M7" s="44">
        <v>28</v>
      </c>
      <c r="N7" s="44">
        <v>30</v>
      </c>
      <c r="O7" s="25">
        <f t="shared" si="1"/>
        <v>242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15" customHeight="1" x14ac:dyDescent="0.5">
      <c r="A8" s="10" t="s">
        <v>19</v>
      </c>
      <c r="B8" s="26">
        <v>774.03</v>
      </c>
      <c r="C8" s="44">
        <v>10</v>
      </c>
      <c r="D8" s="44">
        <v>12</v>
      </c>
      <c r="E8" s="44">
        <v>14</v>
      </c>
      <c r="F8" s="44">
        <v>16</v>
      </c>
      <c r="G8" s="44">
        <v>18</v>
      </c>
      <c r="H8" s="44">
        <v>20</v>
      </c>
      <c r="I8" s="44">
        <v>22</v>
      </c>
      <c r="J8" s="24">
        <f t="shared" si="0"/>
        <v>22</v>
      </c>
      <c r="K8" s="44">
        <v>24</v>
      </c>
      <c r="L8" s="44">
        <v>26</v>
      </c>
      <c r="M8" s="44">
        <v>28</v>
      </c>
      <c r="N8" s="44">
        <v>30</v>
      </c>
      <c r="O8" s="25">
        <f t="shared" si="1"/>
        <v>242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15" customHeight="1" x14ac:dyDescent="0.5">
      <c r="A9" s="10" t="s">
        <v>20</v>
      </c>
      <c r="B9" s="11">
        <v>459</v>
      </c>
      <c r="C9" s="24">
        <v>20</v>
      </c>
      <c r="D9" s="24">
        <v>22</v>
      </c>
      <c r="E9" s="24">
        <v>24</v>
      </c>
      <c r="F9" s="24">
        <v>26</v>
      </c>
      <c r="G9" s="24">
        <v>28</v>
      </c>
      <c r="H9" s="24">
        <v>30</v>
      </c>
      <c r="I9" s="24">
        <v>32</v>
      </c>
      <c r="J9" s="24">
        <f t="shared" si="0"/>
        <v>32</v>
      </c>
      <c r="K9" s="24">
        <v>34</v>
      </c>
      <c r="L9" s="24">
        <v>36</v>
      </c>
      <c r="M9" s="24">
        <v>38</v>
      </c>
      <c r="N9" s="24">
        <v>40</v>
      </c>
      <c r="O9" s="25">
        <f t="shared" si="1"/>
        <v>362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15" customHeight="1" x14ac:dyDescent="0.5">
      <c r="A10" s="10" t="s">
        <v>21</v>
      </c>
      <c r="B10" s="11">
        <v>765</v>
      </c>
      <c r="C10" s="24">
        <v>20</v>
      </c>
      <c r="D10" s="24">
        <v>22</v>
      </c>
      <c r="E10" s="24">
        <v>24</v>
      </c>
      <c r="F10" s="24">
        <v>26</v>
      </c>
      <c r="G10" s="24">
        <v>28</v>
      </c>
      <c r="H10" s="24">
        <v>30</v>
      </c>
      <c r="I10" s="24">
        <v>32</v>
      </c>
      <c r="J10" s="24">
        <f t="shared" si="0"/>
        <v>32</v>
      </c>
      <c r="K10" s="24">
        <v>34</v>
      </c>
      <c r="L10" s="24">
        <v>36</v>
      </c>
      <c r="M10" s="24">
        <v>38</v>
      </c>
      <c r="N10" s="24">
        <v>40</v>
      </c>
      <c r="O10" s="25">
        <f t="shared" si="1"/>
        <v>362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15" customHeight="1" x14ac:dyDescent="0.5">
      <c r="A11" s="10" t="s">
        <v>22</v>
      </c>
      <c r="B11" s="11">
        <v>780.99</v>
      </c>
      <c r="C11" s="24">
        <v>5</v>
      </c>
      <c r="D11" s="24">
        <v>6</v>
      </c>
      <c r="E11" s="24">
        <v>7</v>
      </c>
      <c r="F11" s="24">
        <v>8</v>
      </c>
      <c r="G11" s="24">
        <v>9</v>
      </c>
      <c r="H11" s="24">
        <v>10</v>
      </c>
      <c r="I11" s="24">
        <v>11</v>
      </c>
      <c r="J11" s="24">
        <f t="shared" si="0"/>
        <v>11</v>
      </c>
      <c r="K11" s="24">
        <v>12</v>
      </c>
      <c r="L11" s="24">
        <v>13</v>
      </c>
      <c r="M11" s="24">
        <v>14</v>
      </c>
      <c r="N11" s="24">
        <v>15</v>
      </c>
      <c r="O11" s="25">
        <f t="shared" si="1"/>
        <v>121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15" customHeight="1" x14ac:dyDescent="0.5">
      <c r="A12" s="10" t="s">
        <v>23</v>
      </c>
      <c r="B12" s="11">
        <v>344.25</v>
      </c>
      <c r="C12" s="24">
        <v>10</v>
      </c>
      <c r="D12" s="24">
        <v>12</v>
      </c>
      <c r="E12" s="24">
        <v>14</v>
      </c>
      <c r="F12" s="24">
        <v>16</v>
      </c>
      <c r="G12" s="24">
        <v>18</v>
      </c>
      <c r="H12" s="24">
        <v>20</v>
      </c>
      <c r="I12" s="24">
        <v>22</v>
      </c>
      <c r="J12" s="24">
        <f t="shared" si="0"/>
        <v>22</v>
      </c>
      <c r="K12" s="24">
        <v>24</v>
      </c>
      <c r="L12" s="24">
        <v>26</v>
      </c>
      <c r="M12" s="24">
        <v>28</v>
      </c>
      <c r="N12" s="24">
        <v>30</v>
      </c>
      <c r="O12" s="25">
        <f t="shared" si="1"/>
        <v>242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15" customHeight="1" x14ac:dyDescent="0.5">
      <c r="A13" s="10" t="s">
        <v>24</v>
      </c>
      <c r="B13" s="11">
        <v>428.4</v>
      </c>
      <c r="C13" s="24">
        <v>160</v>
      </c>
      <c r="D13" s="24">
        <v>165</v>
      </c>
      <c r="E13" s="24">
        <v>170</v>
      </c>
      <c r="F13" s="24">
        <v>175</v>
      </c>
      <c r="G13" s="24">
        <v>180</v>
      </c>
      <c r="H13" s="24">
        <v>185</v>
      </c>
      <c r="I13" s="24">
        <v>190</v>
      </c>
      <c r="J13" s="24">
        <f t="shared" si="0"/>
        <v>190</v>
      </c>
      <c r="K13" s="24">
        <v>195</v>
      </c>
      <c r="L13" s="24">
        <v>200</v>
      </c>
      <c r="M13" s="24">
        <v>205</v>
      </c>
      <c r="N13" s="24">
        <v>210</v>
      </c>
      <c r="O13" s="25">
        <f t="shared" si="1"/>
        <v>2225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15" customHeight="1" x14ac:dyDescent="0.5">
      <c r="A14" s="10" t="s">
        <v>25</v>
      </c>
      <c r="B14" s="11">
        <v>459</v>
      </c>
      <c r="C14" s="24">
        <v>10</v>
      </c>
      <c r="D14" s="24">
        <v>12</v>
      </c>
      <c r="E14" s="24">
        <v>14</v>
      </c>
      <c r="F14" s="24">
        <v>16</v>
      </c>
      <c r="G14" s="24">
        <v>18</v>
      </c>
      <c r="H14" s="24">
        <v>20</v>
      </c>
      <c r="I14" s="24">
        <v>22</v>
      </c>
      <c r="J14" s="24">
        <f t="shared" si="0"/>
        <v>22</v>
      </c>
      <c r="K14" s="24">
        <v>24</v>
      </c>
      <c r="L14" s="24">
        <v>26</v>
      </c>
      <c r="M14" s="24">
        <v>28</v>
      </c>
      <c r="N14" s="24">
        <v>30</v>
      </c>
      <c r="O14" s="25">
        <f t="shared" si="1"/>
        <v>242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15" customHeight="1" x14ac:dyDescent="0.5">
      <c r="A15" s="10" t="s">
        <v>26</v>
      </c>
      <c r="B15" s="11">
        <v>550.79999999999995</v>
      </c>
      <c r="C15" s="24">
        <v>10</v>
      </c>
      <c r="D15" s="24">
        <v>12</v>
      </c>
      <c r="E15" s="24">
        <v>14</v>
      </c>
      <c r="F15" s="24">
        <v>16</v>
      </c>
      <c r="G15" s="24">
        <v>18</v>
      </c>
      <c r="H15" s="24">
        <v>20</v>
      </c>
      <c r="I15" s="24">
        <v>22</v>
      </c>
      <c r="J15" s="24">
        <f t="shared" si="0"/>
        <v>22</v>
      </c>
      <c r="K15" s="24">
        <v>24</v>
      </c>
      <c r="L15" s="24">
        <v>26</v>
      </c>
      <c r="M15" s="24">
        <v>28</v>
      </c>
      <c r="N15" s="24">
        <v>30</v>
      </c>
      <c r="O15" s="25">
        <f t="shared" si="1"/>
        <v>242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8.15" customHeight="1" x14ac:dyDescent="0.5">
      <c r="A16" s="13" t="s">
        <v>27</v>
      </c>
      <c r="B16" s="14">
        <v>122.4</v>
      </c>
      <c r="C16" s="45">
        <v>100</v>
      </c>
      <c r="D16" s="45">
        <v>105</v>
      </c>
      <c r="E16" s="45">
        <v>110</v>
      </c>
      <c r="F16" s="45">
        <v>115</v>
      </c>
      <c r="G16" s="45">
        <v>120</v>
      </c>
      <c r="H16" s="45">
        <v>125</v>
      </c>
      <c r="I16" s="45">
        <v>130</v>
      </c>
      <c r="J16" s="24">
        <f t="shared" si="0"/>
        <v>130</v>
      </c>
      <c r="K16" s="45">
        <v>135</v>
      </c>
      <c r="L16" s="45">
        <v>140</v>
      </c>
      <c r="M16" s="45">
        <v>145</v>
      </c>
      <c r="N16" s="45">
        <v>150</v>
      </c>
      <c r="O16" s="25">
        <f t="shared" si="1"/>
        <v>1505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8.15" customHeight="1" x14ac:dyDescent="0.5">
      <c r="A17" s="13" t="s">
        <v>28</v>
      </c>
      <c r="B17" s="14">
        <v>481.95</v>
      </c>
      <c r="C17" s="46">
        <v>120</v>
      </c>
      <c r="D17" s="46">
        <v>125</v>
      </c>
      <c r="E17" s="46">
        <v>130</v>
      </c>
      <c r="F17" s="46">
        <v>135</v>
      </c>
      <c r="G17" s="46">
        <v>140</v>
      </c>
      <c r="H17" s="46">
        <v>145</v>
      </c>
      <c r="I17" s="46">
        <v>150</v>
      </c>
      <c r="J17" s="24">
        <f t="shared" si="0"/>
        <v>150</v>
      </c>
      <c r="K17" s="46">
        <v>155</v>
      </c>
      <c r="L17" s="46">
        <v>160</v>
      </c>
      <c r="M17" s="46">
        <v>165</v>
      </c>
      <c r="N17" s="46">
        <v>170</v>
      </c>
      <c r="O17" s="25">
        <f t="shared" si="1"/>
        <v>1745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15" customHeight="1" x14ac:dyDescent="0.5">
      <c r="A18" s="13" t="s">
        <v>29</v>
      </c>
      <c r="B18" s="14">
        <v>283.05</v>
      </c>
      <c r="C18" s="45">
        <v>130</v>
      </c>
      <c r="D18" s="45">
        <v>135</v>
      </c>
      <c r="E18" s="45">
        <v>140</v>
      </c>
      <c r="F18" s="45">
        <v>145</v>
      </c>
      <c r="G18" s="45">
        <v>150</v>
      </c>
      <c r="H18" s="45">
        <v>155</v>
      </c>
      <c r="I18" s="45">
        <v>160</v>
      </c>
      <c r="J18" s="24">
        <f t="shared" si="0"/>
        <v>160</v>
      </c>
      <c r="K18" s="45">
        <v>165</v>
      </c>
      <c r="L18" s="45">
        <v>170</v>
      </c>
      <c r="M18" s="45">
        <v>175</v>
      </c>
      <c r="N18" s="45">
        <v>180</v>
      </c>
      <c r="O18" s="25">
        <f t="shared" si="1"/>
        <v>1865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15" customHeight="1" x14ac:dyDescent="0.5">
      <c r="A19" s="13" t="s">
        <v>30</v>
      </c>
      <c r="B19" s="14">
        <v>344.25</v>
      </c>
      <c r="C19" s="45">
        <v>5</v>
      </c>
      <c r="D19" s="45">
        <v>6</v>
      </c>
      <c r="E19" s="45">
        <v>7</v>
      </c>
      <c r="F19" s="45">
        <v>8</v>
      </c>
      <c r="G19" s="45">
        <v>9</v>
      </c>
      <c r="H19" s="45">
        <v>10</v>
      </c>
      <c r="I19" s="45">
        <v>11</v>
      </c>
      <c r="J19" s="24">
        <f t="shared" si="0"/>
        <v>11</v>
      </c>
      <c r="K19" s="45">
        <v>12</v>
      </c>
      <c r="L19" s="45">
        <v>13</v>
      </c>
      <c r="M19" s="45">
        <v>14</v>
      </c>
      <c r="N19" s="45">
        <v>15</v>
      </c>
      <c r="O19" s="25">
        <f t="shared" si="1"/>
        <v>121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15" customHeight="1" x14ac:dyDescent="0.5">
      <c r="A20" s="13" t="s">
        <v>31</v>
      </c>
      <c r="B20" s="15">
        <v>342.39</v>
      </c>
      <c r="C20" s="45">
        <v>5</v>
      </c>
      <c r="D20" s="45">
        <v>6</v>
      </c>
      <c r="E20" s="45">
        <v>7</v>
      </c>
      <c r="F20" s="45">
        <v>8</v>
      </c>
      <c r="G20" s="45">
        <v>9</v>
      </c>
      <c r="H20" s="45">
        <v>10</v>
      </c>
      <c r="I20" s="45">
        <v>11</v>
      </c>
      <c r="J20" s="24">
        <f t="shared" si="0"/>
        <v>11</v>
      </c>
      <c r="K20" s="45">
        <v>12</v>
      </c>
      <c r="L20" s="45">
        <v>13</v>
      </c>
      <c r="M20" s="45">
        <v>14</v>
      </c>
      <c r="N20" s="45">
        <v>15</v>
      </c>
      <c r="O20" s="25">
        <f t="shared" si="1"/>
        <v>121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.15" customHeight="1" x14ac:dyDescent="0.5">
      <c r="A21" s="13" t="s">
        <v>32</v>
      </c>
      <c r="B21" s="15">
        <v>213.99</v>
      </c>
      <c r="C21" s="45"/>
      <c r="D21" s="45"/>
      <c r="E21" s="45"/>
      <c r="F21" s="45"/>
      <c r="G21" s="45"/>
      <c r="H21" s="45"/>
      <c r="I21" s="45"/>
      <c r="J21" s="24">
        <f t="shared" si="0"/>
        <v>0</v>
      </c>
      <c r="K21" s="45"/>
      <c r="L21" s="45"/>
      <c r="M21" s="45"/>
      <c r="N21" s="45"/>
      <c r="O21" s="25">
        <f t="shared" si="1"/>
        <v>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8.15" customHeight="1" x14ac:dyDescent="0.5">
      <c r="A22" s="16" t="s">
        <v>33</v>
      </c>
      <c r="B22" s="15">
        <v>1512.71</v>
      </c>
      <c r="C22" s="45">
        <v>5</v>
      </c>
      <c r="D22" s="45">
        <v>6</v>
      </c>
      <c r="E22" s="45">
        <v>7</v>
      </c>
      <c r="F22" s="45">
        <v>8</v>
      </c>
      <c r="G22" s="45">
        <v>9</v>
      </c>
      <c r="H22" s="45">
        <v>10</v>
      </c>
      <c r="I22" s="45">
        <v>11</v>
      </c>
      <c r="J22" s="24">
        <f t="shared" si="0"/>
        <v>11</v>
      </c>
      <c r="K22" s="45">
        <v>12</v>
      </c>
      <c r="L22" s="45">
        <v>13</v>
      </c>
      <c r="M22" s="45">
        <v>14</v>
      </c>
      <c r="N22" s="45">
        <v>15</v>
      </c>
      <c r="O22" s="25">
        <f t="shared" si="1"/>
        <v>121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8.15" customHeight="1" x14ac:dyDescent="0.5">
      <c r="A23" s="13" t="s">
        <v>34</v>
      </c>
      <c r="B23" s="14">
        <v>573.75</v>
      </c>
      <c r="C23" s="45">
        <v>5</v>
      </c>
      <c r="D23" s="45">
        <v>6</v>
      </c>
      <c r="E23" s="45">
        <v>7</v>
      </c>
      <c r="F23" s="45">
        <v>8</v>
      </c>
      <c r="G23" s="45">
        <v>9</v>
      </c>
      <c r="H23" s="45">
        <v>10</v>
      </c>
      <c r="I23" s="45">
        <v>11</v>
      </c>
      <c r="J23" s="24">
        <f t="shared" si="0"/>
        <v>11</v>
      </c>
      <c r="K23" s="45">
        <v>12</v>
      </c>
      <c r="L23" s="45">
        <v>13</v>
      </c>
      <c r="M23" s="45">
        <v>14</v>
      </c>
      <c r="N23" s="45">
        <v>15</v>
      </c>
      <c r="O23" s="25">
        <f t="shared" si="1"/>
        <v>121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8.15" customHeight="1" x14ac:dyDescent="0.5">
      <c r="A24" s="13" t="s">
        <v>35</v>
      </c>
      <c r="B24" s="14">
        <v>979.29</v>
      </c>
      <c r="C24" s="45">
        <v>5</v>
      </c>
      <c r="D24" s="45">
        <v>6</v>
      </c>
      <c r="E24" s="45">
        <v>7</v>
      </c>
      <c r="F24" s="45">
        <v>8</v>
      </c>
      <c r="G24" s="45">
        <v>9</v>
      </c>
      <c r="H24" s="45">
        <v>10</v>
      </c>
      <c r="I24" s="45">
        <v>11</v>
      </c>
      <c r="J24" s="24">
        <f t="shared" si="0"/>
        <v>11</v>
      </c>
      <c r="K24" s="45">
        <v>12</v>
      </c>
      <c r="L24" s="45">
        <v>13</v>
      </c>
      <c r="M24" s="45">
        <v>14</v>
      </c>
      <c r="N24" s="45">
        <v>15</v>
      </c>
      <c r="O24" s="25">
        <f t="shared" si="1"/>
        <v>121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15" customHeight="1" x14ac:dyDescent="0.5">
      <c r="A25" s="13" t="s">
        <v>36</v>
      </c>
      <c r="B25" s="14">
        <v>491.78</v>
      </c>
      <c r="C25" s="45">
        <v>20</v>
      </c>
      <c r="D25" s="45">
        <v>22</v>
      </c>
      <c r="E25" s="45">
        <v>24</v>
      </c>
      <c r="F25" s="45">
        <v>26</v>
      </c>
      <c r="G25" s="45">
        <v>28</v>
      </c>
      <c r="H25" s="45">
        <v>30</v>
      </c>
      <c r="I25" s="45">
        <v>32</v>
      </c>
      <c r="J25" s="24">
        <f t="shared" si="0"/>
        <v>32</v>
      </c>
      <c r="K25" s="45">
        <v>34</v>
      </c>
      <c r="L25" s="45">
        <v>36</v>
      </c>
      <c r="M25" s="45">
        <v>38</v>
      </c>
      <c r="N25" s="45">
        <v>40</v>
      </c>
      <c r="O25" s="25">
        <f t="shared" si="1"/>
        <v>362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8.15" customHeight="1" x14ac:dyDescent="0.5">
      <c r="A26" s="13" t="s">
        <v>37</v>
      </c>
      <c r="B26" s="14">
        <v>589.74</v>
      </c>
      <c r="C26" s="45">
        <v>10</v>
      </c>
      <c r="D26" s="45">
        <v>12</v>
      </c>
      <c r="E26" s="45">
        <v>14</v>
      </c>
      <c r="F26" s="45">
        <v>16</v>
      </c>
      <c r="G26" s="45">
        <v>18</v>
      </c>
      <c r="H26" s="45">
        <v>20</v>
      </c>
      <c r="I26" s="45">
        <v>22</v>
      </c>
      <c r="J26" s="24">
        <f t="shared" si="0"/>
        <v>22</v>
      </c>
      <c r="K26" s="45">
        <v>24</v>
      </c>
      <c r="L26" s="45">
        <v>26</v>
      </c>
      <c r="M26" s="45">
        <v>28</v>
      </c>
      <c r="N26" s="45">
        <v>30</v>
      </c>
      <c r="O26" s="25">
        <f t="shared" si="1"/>
        <v>242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8.15" customHeight="1" x14ac:dyDescent="0.5">
      <c r="A27" s="16" t="s">
        <v>38</v>
      </c>
      <c r="B27" s="15">
        <v>198</v>
      </c>
      <c r="C27" s="45">
        <v>100</v>
      </c>
      <c r="D27" s="45">
        <v>102</v>
      </c>
      <c r="E27" s="45">
        <v>104</v>
      </c>
      <c r="F27" s="45">
        <v>106</v>
      </c>
      <c r="G27" s="45">
        <v>108</v>
      </c>
      <c r="H27" s="45">
        <v>110</v>
      </c>
      <c r="I27" s="45">
        <v>112</v>
      </c>
      <c r="J27" s="24">
        <f t="shared" si="0"/>
        <v>112</v>
      </c>
      <c r="K27" s="45">
        <v>114</v>
      </c>
      <c r="L27" s="45">
        <v>116</v>
      </c>
      <c r="M27" s="45">
        <v>118</v>
      </c>
      <c r="N27" s="45">
        <v>120</v>
      </c>
      <c r="O27" s="25">
        <f t="shared" si="1"/>
        <v>1322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8.15" customHeight="1" x14ac:dyDescent="0.5">
      <c r="A28" s="17" t="s">
        <v>39</v>
      </c>
      <c r="B28" s="1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8.15" customHeight="1" x14ac:dyDescent="0.5">
      <c r="A29" s="17" t="s">
        <v>40</v>
      </c>
      <c r="B29" s="1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9"/>
      <c r="O29" s="2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8.15" customHeight="1" x14ac:dyDescent="0.5">
      <c r="A30" s="30" t="s">
        <v>41</v>
      </c>
      <c r="B30" s="1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9"/>
      <c r="O30" s="2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8.15" customHeight="1" x14ac:dyDescent="0.5">
      <c r="A31" s="30" t="s">
        <v>42</v>
      </c>
      <c r="B31" s="1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9"/>
      <c r="O31" s="2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8.15" customHeight="1" thickBot="1" x14ac:dyDescent="0.45">
      <c r="A32" s="30" t="s">
        <v>43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3"/>
      <c r="O32" s="34"/>
    </row>
    <row r="33" spans="1:15" ht="26.25" customHeight="1" thickTop="1" thickBot="1" x14ac:dyDescent="0.45">
      <c r="A33" s="19" t="s">
        <v>44</v>
      </c>
      <c r="B33" s="37"/>
      <c r="C33" s="47">
        <f t="shared" ref="C33:O33" si="2">SUMPRODUCT($B$5:$B$32,C5:C32)</f>
        <v>529651.05000000005</v>
      </c>
      <c r="D33" s="47">
        <f t="shared" si="2"/>
        <v>556842.47</v>
      </c>
      <c r="E33" s="47">
        <f t="shared" si="2"/>
        <v>584033.89</v>
      </c>
      <c r="F33" s="47">
        <f t="shared" si="2"/>
        <v>611225.30999999994</v>
      </c>
      <c r="G33" s="47">
        <f t="shared" si="2"/>
        <v>638416.72999999986</v>
      </c>
      <c r="H33" s="47">
        <f t="shared" si="2"/>
        <v>665608.15000000014</v>
      </c>
      <c r="I33" s="47">
        <f t="shared" si="2"/>
        <v>692799.57000000007</v>
      </c>
      <c r="J33" s="47">
        <f t="shared" si="2"/>
        <v>692799.57000000007</v>
      </c>
      <c r="K33" s="47">
        <f t="shared" si="2"/>
        <v>719990.99000000011</v>
      </c>
      <c r="L33" s="47">
        <f t="shared" si="2"/>
        <v>747182.40999999992</v>
      </c>
      <c r="M33" s="47">
        <f t="shared" si="2"/>
        <v>774373.83</v>
      </c>
      <c r="N33" s="48">
        <f t="shared" si="2"/>
        <v>801565.24999999988</v>
      </c>
      <c r="O33" s="49">
        <f t="shared" si="2"/>
        <v>8014489.2200000007</v>
      </c>
    </row>
    <row r="34" spans="1:15" ht="31.5" customHeight="1" thickTop="1" thickBot="1" x14ac:dyDescent="0.45">
      <c r="A34" s="19" t="s">
        <v>45</v>
      </c>
      <c r="B34" s="37"/>
      <c r="C34" s="47">
        <f t="shared" ref="C34:O34" si="3">C33/0.9</f>
        <v>588501.16666666674</v>
      </c>
      <c r="D34" s="47">
        <f t="shared" si="3"/>
        <v>618713.85555555555</v>
      </c>
      <c r="E34" s="47">
        <f t="shared" si="3"/>
        <v>648926.54444444447</v>
      </c>
      <c r="F34" s="47">
        <f t="shared" si="3"/>
        <v>679139.23333333328</v>
      </c>
      <c r="G34" s="47">
        <f t="shared" si="3"/>
        <v>709351.92222222209</v>
      </c>
      <c r="H34" s="47">
        <f t="shared" si="3"/>
        <v>739564.61111111124</v>
      </c>
      <c r="I34" s="47">
        <f t="shared" si="3"/>
        <v>769777.3</v>
      </c>
      <c r="J34" s="47">
        <f t="shared" si="3"/>
        <v>769777.3</v>
      </c>
      <c r="K34" s="47">
        <f t="shared" si="3"/>
        <v>799989.98888888897</v>
      </c>
      <c r="L34" s="47">
        <f t="shared" si="3"/>
        <v>830202.67777777766</v>
      </c>
      <c r="M34" s="47">
        <f t="shared" si="3"/>
        <v>860415.36666666658</v>
      </c>
      <c r="N34" s="48">
        <f t="shared" si="3"/>
        <v>890628.05555555539</v>
      </c>
      <c r="O34" s="49">
        <f t="shared" si="3"/>
        <v>8904988.0222222228</v>
      </c>
    </row>
    <row r="35" spans="1:15" ht="15.75" thickTop="1" x14ac:dyDescent="0.25"/>
    <row r="38" spans="1:15" ht="16.350000000000001" customHeight="1" x14ac:dyDescent="0.25"/>
  </sheetData>
  <mergeCells count="3">
    <mergeCell ref="A1:O1"/>
    <mergeCell ref="G2:O2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BF83-3A06-4CF0-A128-80151345195B}">
  <dimension ref="A1:Z38"/>
  <sheetViews>
    <sheetView zoomScale="60" zoomScaleNormal="60" workbookViewId="0">
      <selection activeCell="C9" sqref="C9"/>
    </sheetView>
  </sheetViews>
  <sheetFormatPr defaultRowHeight="15" x14ac:dyDescent="0.25"/>
  <cols>
    <col min="1" max="1" width="34.7109375" customWidth="1"/>
    <col min="2" max="2" width="12.28515625" bestFit="1" customWidth="1"/>
    <col min="3" max="14" width="17.7109375" customWidth="1"/>
    <col min="15" max="15" width="23" customWidth="1"/>
  </cols>
  <sheetData>
    <row r="1" spans="1:26" ht="37.5" customHeight="1" thickTop="1" thickBo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spans="1:26" ht="36.75" customHeight="1" thickTop="1" thickBot="1" x14ac:dyDescent="0.3">
      <c r="A2" s="54" t="s">
        <v>50</v>
      </c>
      <c r="B2" s="54"/>
      <c r="C2" s="54"/>
      <c r="D2" s="50"/>
      <c r="E2" s="50"/>
      <c r="F2" s="50"/>
      <c r="G2" s="54" t="s">
        <v>51</v>
      </c>
      <c r="H2" s="54"/>
      <c r="I2" s="54"/>
      <c r="J2" s="54"/>
      <c r="K2" s="54"/>
      <c r="L2" s="54"/>
      <c r="M2" s="54"/>
      <c r="N2" s="54"/>
      <c r="O2" s="54"/>
    </row>
    <row r="3" spans="1:26" s="2" customFormat="1" ht="34.5" customHeight="1" thickTop="1" thickBot="1" x14ac:dyDescent="0.3">
      <c r="A3" s="20" t="s">
        <v>1</v>
      </c>
      <c r="B3" s="2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36" t="s">
        <v>15</v>
      </c>
    </row>
    <row r="4" spans="1:26" s="2" customFormat="1" ht="18" hidden="1" customHeight="1" x14ac:dyDescent="0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2"/>
      <c r="O4" s="23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15" customHeight="1" thickTop="1" x14ac:dyDescent="0.5">
      <c r="A5" s="8" t="s">
        <v>16</v>
      </c>
      <c r="B5" s="9">
        <v>742.05</v>
      </c>
      <c r="C5" s="24">
        <v>12</v>
      </c>
      <c r="D5" s="24">
        <v>13</v>
      </c>
      <c r="E5" s="24">
        <v>14</v>
      </c>
      <c r="F5" s="24">
        <v>15</v>
      </c>
      <c r="G5" s="24">
        <v>16</v>
      </c>
      <c r="H5" s="24">
        <v>17</v>
      </c>
      <c r="I5" s="24">
        <v>18</v>
      </c>
      <c r="J5" s="24">
        <f>I5</f>
        <v>18</v>
      </c>
      <c r="K5" s="24">
        <v>19</v>
      </c>
      <c r="L5" s="24">
        <v>20</v>
      </c>
      <c r="M5" s="24">
        <v>21</v>
      </c>
      <c r="N5" s="24">
        <v>22</v>
      </c>
      <c r="O5" s="25">
        <f>SUM(C5:N5)</f>
        <v>205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15" customHeight="1" x14ac:dyDescent="0.5">
      <c r="A6" s="10" t="s">
        <v>17</v>
      </c>
      <c r="B6" s="11">
        <v>2065.5</v>
      </c>
      <c r="C6" s="24">
        <v>60</v>
      </c>
      <c r="D6" s="24">
        <v>62</v>
      </c>
      <c r="E6" s="24">
        <v>64</v>
      </c>
      <c r="F6" s="24">
        <v>66</v>
      </c>
      <c r="G6" s="24">
        <v>68</v>
      </c>
      <c r="H6" s="24">
        <v>70</v>
      </c>
      <c r="I6" s="24">
        <v>72</v>
      </c>
      <c r="J6" s="24">
        <f t="shared" ref="J6:J27" si="0">I6</f>
        <v>72</v>
      </c>
      <c r="K6" s="24">
        <v>74</v>
      </c>
      <c r="L6" s="24">
        <v>76</v>
      </c>
      <c r="M6" s="24">
        <v>78</v>
      </c>
      <c r="N6" s="24">
        <v>80</v>
      </c>
      <c r="O6" s="25">
        <f t="shared" ref="O6:O27" si="1">SUM(C6:N6)</f>
        <v>842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15" customHeight="1" x14ac:dyDescent="0.5">
      <c r="A7" s="10" t="s">
        <v>18</v>
      </c>
      <c r="B7" s="26">
        <v>600.37</v>
      </c>
      <c r="C7" s="44">
        <v>72</v>
      </c>
      <c r="D7" s="44">
        <v>74</v>
      </c>
      <c r="E7" s="44">
        <v>76</v>
      </c>
      <c r="F7" s="44">
        <v>78</v>
      </c>
      <c r="G7" s="44">
        <v>80</v>
      </c>
      <c r="H7" s="44">
        <v>82</v>
      </c>
      <c r="I7" s="44">
        <v>84</v>
      </c>
      <c r="J7" s="24">
        <f t="shared" si="0"/>
        <v>84</v>
      </c>
      <c r="K7" s="44">
        <v>86</v>
      </c>
      <c r="L7" s="44">
        <v>88</v>
      </c>
      <c r="M7" s="44">
        <v>90</v>
      </c>
      <c r="N7" s="44">
        <v>92</v>
      </c>
      <c r="O7" s="25">
        <f t="shared" si="1"/>
        <v>986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15" customHeight="1" x14ac:dyDescent="0.5">
      <c r="A8" s="10" t="s">
        <v>19</v>
      </c>
      <c r="B8" s="26">
        <v>774.03</v>
      </c>
      <c r="C8" s="24">
        <v>88</v>
      </c>
      <c r="D8" s="24">
        <v>90</v>
      </c>
      <c r="E8" s="24">
        <v>92</v>
      </c>
      <c r="F8" s="24">
        <v>94</v>
      </c>
      <c r="G8" s="24">
        <v>96</v>
      </c>
      <c r="H8" s="24">
        <v>98</v>
      </c>
      <c r="I8" s="24">
        <v>100</v>
      </c>
      <c r="J8" s="24">
        <f t="shared" si="0"/>
        <v>100</v>
      </c>
      <c r="K8" s="24">
        <v>102</v>
      </c>
      <c r="L8" s="24">
        <v>104</v>
      </c>
      <c r="M8" s="24">
        <v>106</v>
      </c>
      <c r="N8" s="24">
        <v>108</v>
      </c>
      <c r="O8" s="25">
        <f t="shared" si="1"/>
        <v>1178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15" customHeight="1" x14ac:dyDescent="0.5">
      <c r="A9" s="10" t="s">
        <v>20</v>
      </c>
      <c r="B9" s="11">
        <v>459</v>
      </c>
      <c r="C9" s="24">
        <v>20</v>
      </c>
      <c r="D9" s="24">
        <v>22</v>
      </c>
      <c r="E9" s="24">
        <v>24</v>
      </c>
      <c r="F9" s="24">
        <v>26</v>
      </c>
      <c r="G9" s="24">
        <v>28</v>
      </c>
      <c r="H9" s="24">
        <v>30</v>
      </c>
      <c r="I9" s="24">
        <v>32</v>
      </c>
      <c r="J9" s="24">
        <f t="shared" si="0"/>
        <v>32</v>
      </c>
      <c r="K9" s="24">
        <v>34</v>
      </c>
      <c r="L9" s="24">
        <v>36</v>
      </c>
      <c r="M9" s="24">
        <v>38</v>
      </c>
      <c r="N9" s="24">
        <v>40</v>
      </c>
      <c r="O9" s="25">
        <f t="shared" si="1"/>
        <v>362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15" customHeight="1" x14ac:dyDescent="0.5">
      <c r="A10" s="10" t="s">
        <v>21</v>
      </c>
      <c r="B10" s="11">
        <v>765</v>
      </c>
      <c r="C10" s="24">
        <v>10</v>
      </c>
      <c r="D10" s="24">
        <v>12</v>
      </c>
      <c r="E10" s="24">
        <v>14</v>
      </c>
      <c r="F10" s="24">
        <v>16</v>
      </c>
      <c r="G10" s="24">
        <v>18</v>
      </c>
      <c r="H10" s="24">
        <v>20</v>
      </c>
      <c r="I10" s="24">
        <v>22</v>
      </c>
      <c r="J10" s="24">
        <f t="shared" si="0"/>
        <v>22</v>
      </c>
      <c r="K10" s="24">
        <v>24</v>
      </c>
      <c r="L10" s="24">
        <v>26</v>
      </c>
      <c r="M10" s="24">
        <v>28</v>
      </c>
      <c r="N10" s="24">
        <v>30</v>
      </c>
      <c r="O10" s="25">
        <f t="shared" si="1"/>
        <v>242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15" customHeight="1" x14ac:dyDescent="0.5">
      <c r="A11" s="10" t="s">
        <v>22</v>
      </c>
      <c r="B11" s="11">
        <v>780.99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f t="shared" si="0"/>
        <v>0</v>
      </c>
      <c r="K11" s="24">
        <v>0</v>
      </c>
      <c r="L11" s="24">
        <v>0</v>
      </c>
      <c r="M11" s="24">
        <v>0</v>
      </c>
      <c r="N11" s="24">
        <v>0</v>
      </c>
      <c r="O11" s="25">
        <f t="shared" si="1"/>
        <v>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15" customHeight="1" x14ac:dyDescent="0.5">
      <c r="A12" s="10" t="s">
        <v>23</v>
      </c>
      <c r="B12" s="11">
        <v>344.25</v>
      </c>
      <c r="C12" s="24">
        <v>20</v>
      </c>
      <c r="D12" s="24">
        <v>22</v>
      </c>
      <c r="E12" s="24">
        <v>24</v>
      </c>
      <c r="F12" s="24">
        <v>26</v>
      </c>
      <c r="G12" s="24">
        <v>28</v>
      </c>
      <c r="H12" s="24">
        <v>30</v>
      </c>
      <c r="I12" s="24">
        <v>32</v>
      </c>
      <c r="J12" s="24">
        <f t="shared" si="0"/>
        <v>32</v>
      </c>
      <c r="K12" s="24">
        <v>34</v>
      </c>
      <c r="L12" s="24">
        <v>36</v>
      </c>
      <c r="M12" s="24">
        <v>38</v>
      </c>
      <c r="N12" s="24">
        <v>40</v>
      </c>
      <c r="O12" s="25">
        <f t="shared" si="1"/>
        <v>362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15" customHeight="1" x14ac:dyDescent="0.5">
      <c r="A13" s="10" t="s">
        <v>24</v>
      </c>
      <c r="B13" s="11">
        <v>428.4</v>
      </c>
      <c r="C13" s="24">
        <v>235</v>
      </c>
      <c r="D13" s="24">
        <v>240</v>
      </c>
      <c r="E13" s="24">
        <v>245</v>
      </c>
      <c r="F13" s="24">
        <v>250</v>
      </c>
      <c r="G13" s="24">
        <v>255</v>
      </c>
      <c r="H13" s="24">
        <v>260</v>
      </c>
      <c r="I13" s="24">
        <v>265</v>
      </c>
      <c r="J13" s="24">
        <f t="shared" si="0"/>
        <v>265</v>
      </c>
      <c r="K13" s="24">
        <v>270</v>
      </c>
      <c r="L13" s="24">
        <v>275</v>
      </c>
      <c r="M13" s="24">
        <v>280</v>
      </c>
      <c r="N13" s="24">
        <v>285</v>
      </c>
      <c r="O13" s="25">
        <f t="shared" si="1"/>
        <v>3125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15" customHeight="1" x14ac:dyDescent="0.5">
      <c r="A14" s="10" t="s">
        <v>25</v>
      </c>
      <c r="B14" s="11">
        <v>459</v>
      </c>
      <c r="C14" s="24">
        <v>10</v>
      </c>
      <c r="D14" s="24">
        <v>12</v>
      </c>
      <c r="E14" s="24">
        <v>14</v>
      </c>
      <c r="F14" s="24">
        <v>16</v>
      </c>
      <c r="G14" s="24">
        <v>18</v>
      </c>
      <c r="H14" s="24">
        <v>20</v>
      </c>
      <c r="I14" s="24">
        <v>22</v>
      </c>
      <c r="J14" s="24">
        <f t="shared" si="0"/>
        <v>22</v>
      </c>
      <c r="K14" s="24">
        <v>24</v>
      </c>
      <c r="L14" s="24">
        <v>26</v>
      </c>
      <c r="M14" s="24">
        <v>28</v>
      </c>
      <c r="N14" s="24">
        <v>30</v>
      </c>
      <c r="O14" s="25">
        <f t="shared" si="1"/>
        <v>242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15" customHeight="1" x14ac:dyDescent="0.5">
      <c r="A15" s="10" t="s">
        <v>26</v>
      </c>
      <c r="B15" s="11">
        <v>550.79999999999995</v>
      </c>
      <c r="C15" s="24">
        <v>10</v>
      </c>
      <c r="D15" s="24">
        <v>12</v>
      </c>
      <c r="E15" s="24">
        <v>14</v>
      </c>
      <c r="F15" s="24">
        <v>16</v>
      </c>
      <c r="G15" s="24">
        <v>18</v>
      </c>
      <c r="H15" s="24">
        <v>20</v>
      </c>
      <c r="I15" s="24">
        <v>22</v>
      </c>
      <c r="J15" s="24">
        <f t="shared" si="0"/>
        <v>22</v>
      </c>
      <c r="K15" s="24">
        <v>24</v>
      </c>
      <c r="L15" s="24">
        <v>26</v>
      </c>
      <c r="M15" s="24">
        <v>28</v>
      </c>
      <c r="N15" s="24">
        <v>30</v>
      </c>
      <c r="O15" s="25">
        <f t="shared" si="1"/>
        <v>242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8.15" customHeight="1" x14ac:dyDescent="0.5">
      <c r="A16" s="13" t="s">
        <v>27</v>
      </c>
      <c r="B16" s="14">
        <v>122.4</v>
      </c>
      <c r="C16" s="45">
        <v>100</v>
      </c>
      <c r="D16" s="45">
        <v>104</v>
      </c>
      <c r="E16" s="45">
        <v>108</v>
      </c>
      <c r="F16" s="45">
        <v>112</v>
      </c>
      <c r="G16" s="45">
        <v>116</v>
      </c>
      <c r="H16" s="45">
        <v>120</v>
      </c>
      <c r="I16" s="45">
        <v>124</v>
      </c>
      <c r="J16" s="24">
        <f t="shared" si="0"/>
        <v>124</v>
      </c>
      <c r="K16" s="45">
        <v>128</v>
      </c>
      <c r="L16" s="45">
        <v>132</v>
      </c>
      <c r="M16" s="45">
        <v>136</v>
      </c>
      <c r="N16" s="45">
        <v>140</v>
      </c>
      <c r="O16" s="25">
        <f t="shared" si="1"/>
        <v>1444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8.15" customHeight="1" x14ac:dyDescent="0.5">
      <c r="A17" s="13" t="s">
        <v>28</v>
      </c>
      <c r="B17" s="14">
        <v>481.95</v>
      </c>
      <c r="C17" s="46">
        <v>100</v>
      </c>
      <c r="D17" s="46">
        <v>104</v>
      </c>
      <c r="E17" s="46">
        <v>108</v>
      </c>
      <c r="F17" s="46">
        <v>112</v>
      </c>
      <c r="G17" s="46">
        <v>116</v>
      </c>
      <c r="H17" s="46">
        <v>120</v>
      </c>
      <c r="I17" s="46">
        <v>124</v>
      </c>
      <c r="J17" s="24">
        <f t="shared" si="0"/>
        <v>124</v>
      </c>
      <c r="K17" s="46">
        <v>128</v>
      </c>
      <c r="L17" s="46">
        <v>132</v>
      </c>
      <c r="M17" s="46">
        <v>136</v>
      </c>
      <c r="N17" s="46">
        <v>140</v>
      </c>
      <c r="O17" s="25">
        <f t="shared" si="1"/>
        <v>1444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15" customHeight="1" x14ac:dyDescent="0.5">
      <c r="A18" s="13" t="s">
        <v>29</v>
      </c>
      <c r="B18" s="14">
        <v>283.05</v>
      </c>
      <c r="C18" s="45">
        <v>70</v>
      </c>
      <c r="D18" s="45">
        <v>75</v>
      </c>
      <c r="E18" s="45">
        <v>80</v>
      </c>
      <c r="F18" s="45">
        <v>85</v>
      </c>
      <c r="G18" s="45">
        <v>90</v>
      </c>
      <c r="H18" s="45">
        <v>95</v>
      </c>
      <c r="I18" s="45">
        <v>100</v>
      </c>
      <c r="J18" s="24">
        <f t="shared" si="0"/>
        <v>100</v>
      </c>
      <c r="K18" s="45">
        <v>105</v>
      </c>
      <c r="L18" s="45">
        <v>110</v>
      </c>
      <c r="M18" s="45">
        <v>115</v>
      </c>
      <c r="N18" s="45">
        <v>120</v>
      </c>
      <c r="O18" s="25">
        <f t="shared" si="1"/>
        <v>1145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15" customHeight="1" x14ac:dyDescent="0.5">
      <c r="A19" s="13" t="s">
        <v>30</v>
      </c>
      <c r="B19" s="14">
        <v>344.25</v>
      </c>
      <c r="C19" s="45">
        <v>5</v>
      </c>
      <c r="D19" s="45">
        <v>6</v>
      </c>
      <c r="E19" s="45">
        <v>7</v>
      </c>
      <c r="F19" s="45">
        <v>8</v>
      </c>
      <c r="G19" s="45">
        <v>9</v>
      </c>
      <c r="H19" s="45">
        <v>10</v>
      </c>
      <c r="I19" s="45">
        <v>11</v>
      </c>
      <c r="J19" s="24">
        <f t="shared" si="0"/>
        <v>11</v>
      </c>
      <c r="K19" s="45">
        <v>12</v>
      </c>
      <c r="L19" s="45">
        <v>13</v>
      </c>
      <c r="M19" s="45">
        <v>14</v>
      </c>
      <c r="N19" s="45">
        <v>15</v>
      </c>
      <c r="O19" s="25">
        <f t="shared" si="1"/>
        <v>121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15" customHeight="1" x14ac:dyDescent="0.5">
      <c r="A20" s="13" t="s">
        <v>31</v>
      </c>
      <c r="B20" s="15">
        <v>342.39</v>
      </c>
      <c r="C20" s="45">
        <v>5</v>
      </c>
      <c r="D20" s="45">
        <v>6</v>
      </c>
      <c r="E20" s="45">
        <v>7</v>
      </c>
      <c r="F20" s="45">
        <v>8</v>
      </c>
      <c r="G20" s="45">
        <v>9</v>
      </c>
      <c r="H20" s="45">
        <v>10</v>
      </c>
      <c r="I20" s="45">
        <v>11</v>
      </c>
      <c r="J20" s="24">
        <f t="shared" si="0"/>
        <v>11</v>
      </c>
      <c r="K20" s="45">
        <v>12</v>
      </c>
      <c r="L20" s="45">
        <v>13</v>
      </c>
      <c r="M20" s="45">
        <v>14</v>
      </c>
      <c r="N20" s="45">
        <v>15</v>
      </c>
      <c r="O20" s="25">
        <f t="shared" si="1"/>
        <v>121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.15" customHeight="1" x14ac:dyDescent="0.5">
      <c r="A21" s="13" t="s">
        <v>32</v>
      </c>
      <c r="B21" s="15">
        <v>213.99</v>
      </c>
      <c r="C21" s="45"/>
      <c r="D21" s="45"/>
      <c r="E21" s="45"/>
      <c r="F21" s="45"/>
      <c r="G21" s="45"/>
      <c r="H21" s="45"/>
      <c r="I21" s="45"/>
      <c r="J21" s="24">
        <f t="shared" si="0"/>
        <v>0</v>
      </c>
      <c r="K21" s="45"/>
      <c r="L21" s="45"/>
      <c r="M21" s="45"/>
      <c r="N21" s="45"/>
      <c r="O21" s="25">
        <f t="shared" si="1"/>
        <v>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8.15" customHeight="1" x14ac:dyDescent="0.5">
      <c r="A22" s="16" t="s">
        <v>33</v>
      </c>
      <c r="B22" s="15">
        <v>1512.71</v>
      </c>
      <c r="C22" s="45">
        <v>6</v>
      </c>
      <c r="D22" s="45">
        <v>7</v>
      </c>
      <c r="E22" s="45">
        <v>8</v>
      </c>
      <c r="F22" s="45">
        <v>9</v>
      </c>
      <c r="G22" s="45">
        <v>10</v>
      </c>
      <c r="H22" s="45">
        <v>11</v>
      </c>
      <c r="I22" s="45">
        <v>12</v>
      </c>
      <c r="J22" s="24">
        <f t="shared" si="0"/>
        <v>12</v>
      </c>
      <c r="K22" s="45">
        <v>13</v>
      </c>
      <c r="L22" s="45">
        <v>14</v>
      </c>
      <c r="M22" s="45">
        <v>15</v>
      </c>
      <c r="N22" s="45">
        <v>16</v>
      </c>
      <c r="O22" s="25">
        <f t="shared" si="1"/>
        <v>133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8.15" customHeight="1" x14ac:dyDescent="0.5">
      <c r="A23" s="13" t="s">
        <v>34</v>
      </c>
      <c r="B23" s="14">
        <v>573.75</v>
      </c>
      <c r="C23" s="45">
        <v>30</v>
      </c>
      <c r="D23" s="45">
        <v>32</v>
      </c>
      <c r="E23" s="45">
        <v>34</v>
      </c>
      <c r="F23" s="45">
        <v>36</v>
      </c>
      <c r="G23" s="45">
        <v>38</v>
      </c>
      <c r="H23" s="45">
        <v>40</v>
      </c>
      <c r="I23" s="45">
        <v>42</v>
      </c>
      <c r="J23" s="24">
        <f t="shared" si="0"/>
        <v>42</v>
      </c>
      <c r="K23" s="45">
        <v>44</v>
      </c>
      <c r="L23" s="45">
        <v>46</v>
      </c>
      <c r="M23" s="45">
        <v>48</v>
      </c>
      <c r="N23" s="45">
        <v>50</v>
      </c>
      <c r="O23" s="25">
        <f t="shared" si="1"/>
        <v>482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8.15" customHeight="1" x14ac:dyDescent="0.5">
      <c r="A24" s="13" t="s">
        <v>35</v>
      </c>
      <c r="B24" s="14">
        <v>979.29</v>
      </c>
      <c r="C24" s="45">
        <v>20</v>
      </c>
      <c r="D24" s="45">
        <v>22</v>
      </c>
      <c r="E24" s="45">
        <v>24</v>
      </c>
      <c r="F24" s="45">
        <v>26</v>
      </c>
      <c r="G24" s="45">
        <v>28</v>
      </c>
      <c r="H24" s="45">
        <v>30</v>
      </c>
      <c r="I24" s="45">
        <v>32</v>
      </c>
      <c r="J24" s="24">
        <f t="shared" si="0"/>
        <v>32</v>
      </c>
      <c r="K24" s="45">
        <v>34</v>
      </c>
      <c r="L24" s="45">
        <v>36</v>
      </c>
      <c r="M24" s="45">
        <v>38</v>
      </c>
      <c r="N24" s="45">
        <v>40</v>
      </c>
      <c r="O24" s="25">
        <f t="shared" si="1"/>
        <v>362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15" customHeight="1" x14ac:dyDescent="0.5">
      <c r="A25" s="13" t="s">
        <v>36</v>
      </c>
      <c r="B25" s="14">
        <v>491.78</v>
      </c>
      <c r="C25" s="45">
        <v>20</v>
      </c>
      <c r="D25" s="45">
        <v>22</v>
      </c>
      <c r="E25" s="45">
        <v>24</v>
      </c>
      <c r="F25" s="45">
        <v>26</v>
      </c>
      <c r="G25" s="45">
        <v>28</v>
      </c>
      <c r="H25" s="45">
        <v>30</v>
      </c>
      <c r="I25" s="45">
        <v>32</v>
      </c>
      <c r="J25" s="24">
        <f t="shared" si="0"/>
        <v>32</v>
      </c>
      <c r="K25" s="45">
        <v>34</v>
      </c>
      <c r="L25" s="45">
        <v>36</v>
      </c>
      <c r="M25" s="45">
        <v>38</v>
      </c>
      <c r="N25" s="45">
        <v>40</v>
      </c>
      <c r="O25" s="25">
        <f t="shared" si="1"/>
        <v>362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8.15" customHeight="1" x14ac:dyDescent="0.5">
      <c r="A26" s="13" t="s">
        <v>37</v>
      </c>
      <c r="B26" s="14">
        <v>589.74</v>
      </c>
      <c r="C26" s="45">
        <v>10</v>
      </c>
      <c r="D26" s="45">
        <v>12</v>
      </c>
      <c r="E26" s="45">
        <v>14</v>
      </c>
      <c r="F26" s="45">
        <v>16</v>
      </c>
      <c r="G26" s="45">
        <v>18</v>
      </c>
      <c r="H26" s="45">
        <v>20</v>
      </c>
      <c r="I26" s="45">
        <v>22</v>
      </c>
      <c r="J26" s="24">
        <f t="shared" si="0"/>
        <v>22</v>
      </c>
      <c r="K26" s="45">
        <v>24</v>
      </c>
      <c r="L26" s="45">
        <v>26</v>
      </c>
      <c r="M26" s="45">
        <v>28</v>
      </c>
      <c r="N26" s="45">
        <v>30</v>
      </c>
      <c r="O26" s="25">
        <f t="shared" si="1"/>
        <v>242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8.15" customHeight="1" x14ac:dyDescent="0.5">
      <c r="A27" s="16" t="s">
        <v>38</v>
      </c>
      <c r="B27" s="15">
        <v>198</v>
      </c>
      <c r="C27" s="45">
        <v>100</v>
      </c>
      <c r="D27" s="45">
        <v>102</v>
      </c>
      <c r="E27" s="45">
        <v>104</v>
      </c>
      <c r="F27" s="45">
        <v>106</v>
      </c>
      <c r="G27" s="45">
        <v>108</v>
      </c>
      <c r="H27" s="45">
        <v>110</v>
      </c>
      <c r="I27" s="45">
        <v>112</v>
      </c>
      <c r="J27" s="24">
        <f t="shared" si="0"/>
        <v>112</v>
      </c>
      <c r="K27" s="45">
        <v>114</v>
      </c>
      <c r="L27" s="45">
        <v>116</v>
      </c>
      <c r="M27" s="45">
        <v>118</v>
      </c>
      <c r="N27" s="45">
        <v>120</v>
      </c>
      <c r="O27" s="25">
        <f t="shared" si="1"/>
        <v>1322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8.15" customHeight="1" x14ac:dyDescent="0.5">
      <c r="A28" s="17" t="s">
        <v>39</v>
      </c>
      <c r="B28" s="1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8.15" customHeight="1" x14ac:dyDescent="0.5">
      <c r="A29" s="17" t="s">
        <v>40</v>
      </c>
      <c r="B29" s="1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8.15" customHeight="1" x14ac:dyDescent="0.5">
      <c r="A30" s="30" t="s">
        <v>41</v>
      </c>
      <c r="B30" s="1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9"/>
      <c r="O30" s="2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8.15" customHeight="1" x14ac:dyDescent="0.5">
      <c r="A31" s="30" t="s">
        <v>42</v>
      </c>
      <c r="B31" s="1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9"/>
      <c r="O31" s="2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8.15" customHeight="1" thickBot="1" x14ac:dyDescent="0.45">
      <c r="A32" s="30" t="s">
        <v>43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3"/>
      <c r="O32" s="34"/>
    </row>
    <row r="33" spans="1:15" ht="26.25" customHeight="1" thickTop="1" thickBot="1" x14ac:dyDescent="0.45">
      <c r="A33" s="19" t="s">
        <v>44</v>
      </c>
      <c r="B33" s="37"/>
      <c r="C33" s="47">
        <f t="shared" ref="C33:O33" si="2">SUMPRODUCT($B$5:$B$32,C5:C32)</f>
        <v>543752.14</v>
      </c>
      <c r="D33" s="47">
        <f t="shared" si="2"/>
        <v>570369.21</v>
      </c>
      <c r="E33" s="47">
        <f t="shared" si="2"/>
        <v>596986.27999999991</v>
      </c>
      <c r="F33" s="47">
        <f t="shared" si="2"/>
        <v>623603.35</v>
      </c>
      <c r="G33" s="47">
        <f t="shared" si="2"/>
        <v>650220.41999999993</v>
      </c>
      <c r="H33" s="47">
        <f t="shared" si="2"/>
        <v>676837.49000000011</v>
      </c>
      <c r="I33" s="47">
        <f t="shared" si="2"/>
        <v>703454.56</v>
      </c>
      <c r="J33" s="47">
        <f t="shared" si="2"/>
        <v>703454.56</v>
      </c>
      <c r="K33" s="47">
        <f t="shared" si="2"/>
        <v>730071.63000000012</v>
      </c>
      <c r="L33" s="47">
        <f t="shared" si="2"/>
        <v>756688.69999999984</v>
      </c>
      <c r="M33" s="47">
        <f t="shared" si="2"/>
        <v>783305.7699999999</v>
      </c>
      <c r="N33" s="48">
        <f t="shared" si="2"/>
        <v>809922.83999999985</v>
      </c>
      <c r="O33" s="49">
        <f t="shared" si="2"/>
        <v>8148666.9500000002</v>
      </c>
    </row>
    <row r="34" spans="1:15" ht="31.5" customHeight="1" thickTop="1" thickBot="1" x14ac:dyDescent="0.45">
      <c r="A34" s="19" t="s">
        <v>45</v>
      </c>
      <c r="B34" s="37"/>
      <c r="C34" s="47">
        <f t="shared" ref="C34:O34" si="3">C33/0.9</f>
        <v>604169.04444444447</v>
      </c>
      <c r="D34" s="47">
        <f t="shared" si="3"/>
        <v>633743.56666666665</v>
      </c>
      <c r="E34" s="47">
        <f t="shared" si="3"/>
        <v>663318.08888888883</v>
      </c>
      <c r="F34" s="47">
        <f t="shared" si="3"/>
        <v>692892.61111111112</v>
      </c>
      <c r="G34" s="47">
        <f t="shared" si="3"/>
        <v>722467.13333333319</v>
      </c>
      <c r="H34" s="47">
        <f t="shared" si="3"/>
        <v>752041.65555555571</v>
      </c>
      <c r="I34" s="47">
        <f t="shared" si="3"/>
        <v>781616.17777777778</v>
      </c>
      <c r="J34" s="47">
        <f t="shared" si="3"/>
        <v>781616.17777777778</v>
      </c>
      <c r="K34" s="47">
        <f t="shared" si="3"/>
        <v>811190.70000000007</v>
      </c>
      <c r="L34" s="47">
        <f t="shared" si="3"/>
        <v>840765.22222222202</v>
      </c>
      <c r="M34" s="47">
        <f t="shared" si="3"/>
        <v>870339.74444444431</v>
      </c>
      <c r="N34" s="48">
        <f t="shared" si="3"/>
        <v>899914.26666666649</v>
      </c>
      <c r="O34" s="49">
        <f t="shared" si="3"/>
        <v>9054074.3888888881</v>
      </c>
    </row>
    <row r="35" spans="1:15" ht="15.75" thickTop="1" x14ac:dyDescent="0.25"/>
    <row r="38" spans="1:15" ht="16.350000000000001" customHeight="1" x14ac:dyDescent="0.25"/>
  </sheetData>
  <mergeCells count="3">
    <mergeCell ref="A1:O1"/>
    <mergeCell ref="G2:O2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682F-ABAC-49EF-9088-A88668A6D80C}">
  <dimension ref="A1:Z38"/>
  <sheetViews>
    <sheetView zoomScale="60" zoomScaleNormal="60" workbookViewId="0">
      <selection activeCell="G16" sqref="G16"/>
    </sheetView>
  </sheetViews>
  <sheetFormatPr defaultRowHeight="15" x14ac:dyDescent="0.25"/>
  <cols>
    <col min="1" max="1" width="34.7109375" customWidth="1"/>
    <col min="2" max="2" width="12.28515625" bestFit="1" customWidth="1"/>
    <col min="3" max="14" width="17.7109375" customWidth="1"/>
    <col min="15" max="15" width="23" customWidth="1"/>
  </cols>
  <sheetData>
    <row r="1" spans="1:26" ht="37.5" customHeight="1" thickTop="1" thickBo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spans="1:26" ht="36.75" customHeight="1" thickTop="1" thickBot="1" x14ac:dyDescent="0.3">
      <c r="A2" s="54" t="s">
        <v>52</v>
      </c>
      <c r="B2" s="54"/>
      <c r="C2" s="54"/>
      <c r="D2" s="50"/>
      <c r="E2" s="50"/>
      <c r="F2" s="50"/>
      <c r="G2" s="54" t="s">
        <v>53</v>
      </c>
      <c r="H2" s="54"/>
      <c r="I2" s="54"/>
      <c r="J2" s="54"/>
      <c r="K2" s="54"/>
      <c r="L2" s="54"/>
      <c r="M2" s="54"/>
      <c r="N2" s="54"/>
      <c r="O2" s="54"/>
    </row>
    <row r="3" spans="1:26" s="2" customFormat="1" ht="34.5" customHeight="1" thickTop="1" thickBot="1" x14ac:dyDescent="0.3">
      <c r="A3" s="20" t="s">
        <v>1</v>
      </c>
      <c r="B3" s="2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36" t="s">
        <v>15</v>
      </c>
    </row>
    <row r="4" spans="1:26" s="2" customFormat="1" ht="18" hidden="1" customHeight="1" x14ac:dyDescent="0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2"/>
      <c r="O4" s="23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15" customHeight="1" thickTop="1" x14ac:dyDescent="0.5">
      <c r="A5" s="8" t="s">
        <v>16</v>
      </c>
      <c r="B5" s="9">
        <v>742.05</v>
      </c>
      <c r="C5" s="24">
        <v>44</v>
      </c>
      <c r="D5" s="24">
        <v>45</v>
      </c>
      <c r="E5" s="24">
        <v>46</v>
      </c>
      <c r="F5" s="24">
        <v>47</v>
      </c>
      <c r="G5" s="24">
        <v>48</v>
      </c>
      <c r="H5" s="24">
        <v>49</v>
      </c>
      <c r="I5" s="24">
        <v>50</v>
      </c>
      <c r="J5" s="24">
        <f>I5</f>
        <v>50</v>
      </c>
      <c r="K5" s="24">
        <v>51</v>
      </c>
      <c r="L5" s="24">
        <v>52</v>
      </c>
      <c r="M5" s="24">
        <v>53</v>
      </c>
      <c r="N5" s="24">
        <v>54</v>
      </c>
      <c r="O5" s="25">
        <f>SUM(C5:N5)</f>
        <v>589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15" customHeight="1" x14ac:dyDescent="0.5">
      <c r="A6" s="10" t="s">
        <v>17</v>
      </c>
      <c r="B6" s="11">
        <v>2065.5</v>
      </c>
      <c r="C6" s="24">
        <v>60</v>
      </c>
      <c r="D6" s="24">
        <v>62</v>
      </c>
      <c r="E6" s="24">
        <v>64</v>
      </c>
      <c r="F6" s="24">
        <v>66</v>
      </c>
      <c r="G6" s="24">
        <v>68</v>
      </c>
      <c r="H6" s="24">
        <v>70</v>
      </c>
      <c r="I6" s="24">
        <v>72</v>
      </c>
      <c r="J6" s="24">
        <f t="shared" ref="J6:J27" si="0">I6</f>
        <v>72</v>
      </c>
      <c r="K6" s="24">
        <v>74</v>
      </c>
      <c r="L6" s="24">
        <v>76</v>
      </c>
      <c r="M6" s="24">
        <v>78</v>
      </c>
      <c r="N6" s="24">
        <v>80</v>
      </c>
      <c r="O6" s="25">
        <f t="shared" ref="O6:O27" si="1">SUM(C6:N6)</f>
        <v>842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15" customHeight="1" x14ac:dyDescent="0.5">
      <c r="A7" s="10" t="s">
        <v>18</v>
      </c>
      <c r="B7" s="26">
        <v>600.37</v>
      </c>
      <c r="C7" s="44">
        <v>22</v>
      </c>
      <c r="D7" s="44">
        <v>24</v>
      </c>
      <c r="E7" s="44">
        <v>26</v>
      </c>
      <c r="F7" s="44">
        <v>28</v>
      </c>
      <c r="G7" s="44">
        <v>30</v>
      </c>
      <c r="H7" s="44">
        <v>32</v>
      </c>
      <c r="I7" s="44">
        <v>34</v>
      </c>
      <c r="J7" s="24">
        <f t="shared" si="0"/>
        <v>34</v>
      </c>
      <c r="K7" s="44">
        <v>36</v>
      </c>
      <c r="L7" s="44">
        <v>38</v>
      </c>
      <c r="M7" s="44">
        <v>40</v>
      </c>
      <c r="N7" s="44">
        <v>42</v>
      </c>
      <c r="O7" s="25">
        <f t="shared" si="1"/>
        <v>386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15" customHeight="1" x14ac:dyDescent="0.5">
      <c r="A8" s="10" t="s">
        <v>19</v>
      </c>
      <c r="B8" s="26">
        <v>774.03</v>
      </c>
      <c r="C8" s="24">
        <v>22</v>
      </c>
      <c r="D8" s="24">
        <v>24</v>
      </c>
      <c r="E8" s="24">
        <v>26</v>
      </c>
      <c r="F8" s="24">
        <v>28</v>
      </c>
      <c r="G8" s="24">
        <v>30</v>
      </c>
      <c r="H8" s="24">
        <v>32</v>
      </c>
      <c r="I8" s="24">
        <v>34</v>
      </c>
      <c r="J8" s="24">
        <f t="shared" si="0"/>
        <v>34</v>
      </c>
      <c r="K8" s="24">
        <v>36</v>
      </c>
      <c r="L8" s="24">
        <v>38</v>
      </c>
      <c r="M8" s="24">
        <v>40</v>
      </c>
      <c r="N8" s="24">
        <v>42</v>
      </c>
      <c r="O8" s="25">
        <f t="shared" si="1"/>
        <v>386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15" customHeight="1" x14ac:dyDescent="0.5">
      <c r="A9" s="10" t="s">
        <v>20</v>
      </c>
      <c r="B9" s="11">
        <v>459</v>
      </c>
      <c r="C9" s="24">
        <v>20</v>
      </c>
      <c r="D9" s="24">
        <v>22</v>
      </c>
      <c r="E9" s="24">
        <v>24</v>
      </c>
      <c r="F9" s="24">
        <v>26</v>
      </c>
      <c r="G9" s="24">
        <v>28</v>
      </c>
      <c r="H9" s="24">
        <v>30</v>
      </c>
      <c r="I9" s="24">
        <v>32</v>
      </c>
      <c r="J9" s="24">
        <f t="shared" si="0"/>
        <v>32</v>
      </c>
      <c r="K9" s="24">
        <v>34</v>
      </c>
      <c r="L9" s="24">
        <v>36</v>
      </c>
      <c r="M9" s="24">
        <v>38</v>
      </c>
      <c r="N9" s="24">
        <v>40</v>
      </c>
      <c r="O9" s="25">
        <f t="shared" si="1"/>
        <v>362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15" customHeight="1" x14ac:dyDescent="0.5">
      <c r="A10" s="10" t="s">
        <v>21</v>
      </c>
      <c r="B10" s="11">
        <v>765</v>
      </c>
      <c r="C10" s="24">
        <v>10</v>
      </c>
      <c r="D10" s="24">
        <v>12</v>
      </c>
      <c r="E10" s="24">
        <v>14</v>
      </c>
      <c r="F10" s="24">
        <v>16</v>
      </c>
      <c r="G10" s="24">
        <v>18</v>
      </c>
      <c r="H10" s="24">
        <v>20</v>
      </c>
      <c r="I10" s="24">
        <v>22</v>
      </c>
      <c r="J10" s="24">
        <f t="shared" si="0"/>
        <v>22</v>
      </c>
      <c r="K10" s="24">
        <v>24</v>
      </c>
      <c r="L10" s="24">
        <v>26</v>
      </c>
      <c r="M10" s="24">
        <v>28</v>
      </c>
      <c r="N10" s="24">
        <v>30</v>
      </c>
      <c r="O10" s="25">
        <f t="shared" si="1"/>
        <v>242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15" customHeight="1" x14ac:dyDescent="0.5">
      <c r="A11" s="10" t="s">
        <v>22</v>
      </c>
      <c r="B11" s="11">
        <v>780.99</v>
      </c>
      <c r="C11" s="24">
        <v>15</v>
      </c>
      <c r="D11" s="24">
        <v>16</v>
      </c>
      <c r="E11" s="24">
        <v>17</v>
      </c>
      <c r="F11" s="24">
        <v>18</v>
      </c>
      <c r="G11" s="24">
        <v>19</v>
      </c>
      <c r="H11" s="24">
        <v>20</v>
      </c>
      <c r="I11" s="24">
        <v>21</v>
      </c>
      <c r="J11" s="24">
        <f t="shared" si="0"/>
        <v>21</v>
      </c>
      <c r="K11" s="24">
        <v>22</v>
      </c>
      <c r="L11" s="24">
        <v>23</v>
      </c>
      <c r="M11" s="24">
        <v>24</v>
      </c>
      <c r="N11" s="24">
        <v>25</v>
      </c>
      <c r="O11" s="25">
        <f t="shared" si="1"/>
        <v>241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15" customHeight="1" x14ac:dyDescent="0.5">
      <c r="A12" s="10" t="s">
        <v>23</v>
      </c>
      <c r="B12" s="11">
        <v>344.25</v>
      </c>
      <c r="C12" s="24">
        <v>20</v>
      </c>
      <c r="D12" s="24">
        <v>22</v>
      </c>
      <c r="E12" s="24">
        <v>24</v>
      </c>
      <c r="F12" s="24">
        <v>26</v>
      </c>
      <c r="G12" s="24">
        <v>28</v>
      </c>
      <c r="H12" s="24">
        <v>30</v>
      </c>
      <c r="I12" s="24">
        <v>32</v>
      </c>
      <c r="J12" s="24">
        <f t="shared" si="0"/>
        <v>32</v>
      </c>
      <c r="K12" s="24">
        <v>34</v>
      </c>
      <c r="L12" s="24">
        <v>36</v>
      </c>
      <c r="M12" s="24">
        <v>38</v>
      </c>
      <c r="N12" s="24">
        <v>40</v>
      </c>
      <c r="O12" s="25">
        <f t="shared" si="1"/>
        <v>362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15" customHeight="1" x14ac:dyDescent="0.5">
      <c r="A13" s="10" t="s">
        <v>24</v>
      </c>
      <c r="B13" s="11">
        <v>428.4</v>
      </c>
      <c r="C13" s="24">
        <v>1500</v>
      </c>
      <c r="D13" s="24">
        <v>1505</v>
      </c>
      <c r="E13" s="24">
        <v>1510</v>
      </c>
      <c r="F13" s="24">
        <v>1515</v>
      </c>
      <c r="G13" s="24">
        <v>1520</v>
      </c>
      <c r="H13" s="24">
        <v>1525</v>
      </c>
      <c r="I13" s="24">
        <v>1530</v>
      </c>
      <c r="J13" s="24">
        <f t="shared" si="0"/>
        <v>1530</v>
      </c>
      <c r="K13" s="24">
        <v>1535</v>
      </c>
      <c r="L13" s="24">
        <v>1540</v>
      </c>
      <c r="M13" s="24">
        <v>1545</v>
      </c>
      <c r="N13" s="24">
        <v>1550</v>
      </c>
      <c r="O13" s="25">
        <f t="shared" si="1"/>
        <v>18305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15" customHeight="1" x14ac:dyDescent="0.5">
      <c r="A14" s="10" t="s">
        <v>25</v>
      </c>
      <c r="B14" s="11">
        <v>459</v>
      </c>
      <c r="C14" s="24">
        <v>10</v>
      </c>
      <c r="D14" s="24">
        <v>11</v>
      </c>
      <c r="E14" s="24">
        <v>12</v>
      </c>
      <c r="F14" s="24">
        <v>13</v>
      </c>
      <c r="G14" s="24">
        <v>14</v>
      </c>
      <c r="H14" s="24">
        <v>15</v>
      </c>
      <c r="I14" s="24">
        <v>16</v>
      </c>
      <c r="J14" s="24">
        <f t="shared" si="0"/>
        <v>16</v>
      </c>
      <c r="K14" s="24">
        <v>17</v>
      </c>
      <c r="L14" s="24">
        <v>18</v>
      </c>
      <c r="M14" s="24">
        <v>19</v>
      </c>
      <c r="N14" s="24">
        <v>20</v>
      </c>
      <c r="O14" s="25">
        <f t="shared" si="1"/>
        <v>181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15" customHeight="1" x14ac:dyDescent="0.5">
      <c r="A15" s="10" t="s">
        <v>26</v>
      </c>
      <c r="B15" s="11">
        <v>550.79999999999995</v>
      </c>
      <c r="C15" s="24">
        <v>10</v>
      </c>
      <c r="D15" s="24">
        <v>11</v>
      </c>
      <c r="E15" s="24">
        <v>12</v>
      </c>
      <c r="F15" s="24">
        <v>13</v>
      </c>
      <c r="G15" s="24">
        <v>14</v>
      </c>
      <c r="H15" s="24">
        <v>15</v>
      </c>
      <c r="I15" s="24">
        <v>16</v>
      </c>
      <c r="J15" s="24">
        <f t="shared" si="0"/>
        <v>16</v>
      </c>
      <c r="K15" s="24">
        <v>17</v>
      </c>
      <c r="L15" s="24">
        <v>18</v>
      </c>
      <c r="M15" s="24">
        <v>19</v>
      </c>
      <c r="N15" s="24">
        <v>20</v>
      </c>
      <c r="O15" s="25">
        <f t="shared" si="1"/>
        <v>181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8.15" customHeight="1" x14ac:dyDescent="0.5">
      <c r="A16" s="13" t="s">
        <v>27</v>
      </c>
      <c r="B16" s="14">
        <v>122.4</v>
      </c>
      <c r="C16" s="45">
        <v>100</v>
      </c>
      <c r="D16" s="45">
        <v>105</v>
      </c>
      <c r="E16" s="45">
        <v>110</v>
      </c>
      <c r="F16" s="45">
        <v>115</v>
      </c>
      <c r="G16" s="45">
        <v>120</v>
      </c>
      <c r="H16" s="45">
        <v>125</v>
      </c>
      <c r="I16" s="45">
        <v>130</v>
      </c>
      <c r="J16" s="24">
        <f t="shared" si="0"/>
        <v>130</v>
      </c>
      <c r="K16" s="45">
        <v>135</v>
      </c>
      <c r="L16" s="45">
        <v>140</v>
      </c>
      <c r="M16" s="45">
        <v>145</v>
      </c>
      <c r="N16" s="45">
        <v>150</v>
      </c>
      <c r="O16" s="25">
        <f t="shared" si="1"/>
        <v>1505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8.15" customHeight="1" x14ac:dyDescent="0.5">
      <c r="A17" s="13" t="s">
        <v>28</v>
      </c>
      <c r="B17" s="14">
        <v>481.95</v>
      </c>
      <c r="C17" s="46">
        <v>67</v>
      </c>
      <c r="D17" s="46">
        <v>70</v>
      </c>
      <c r="E17" s="46">
        <v>73</v>
      </c>
      <c r="F17" s="46">
        <v>76</v>
      </c>
      <c r="G17" s="46">
        <v>79</v>
      </c>
      <c r="H17" s="46">
        <v>82</v>
      </c>
      <c r="I17" s="46">
        <v>85</v>
      </c>
      <c r="J17" s="24">
        <f t="shared" si="0"/>
        <v>85</v>
      </c>
      <c r="K17" s="46">
        <v>88</v>
      </c>
      <c r="L17" s="46">
        <v>91</v>
      </c>
      <c r="M17" s="46">
        <v>94</v>
      </c>
      <c r="N17" s="46">
        <v>97</v>
      </c>
      <c r="O17" s="25">
        <f t="shared" si="1"/>
        <v>987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15" customHeight="1" x14ac:dyDescent="0.5">
      <c r="A18" s="13" t="s">
        <v>29</v>
      </c>
      <c r="B18" s="14">
        <v>283.05</v>
      </c>
      <c r="C18" s="45">
        <v>56</v>
      </c>
      <c r="D18" s="45">
        <v>60</v>
      </c>
      <c r="E18" s="45">
        <v>64</v>
      </c>
      <c r="F18" s="45">
        <v>68</v>
      </c>
      <c r="G18" s="45">
        <v>72</v>
      </c>
      <c r="H18" s="45">
        <v>76</v>
      </c>
      <c r="I18" s="45">
        <v>80</v>
      </c>
      <c r="J18" s="24">
        <f t="shared" si="0"/>
        <v>80</v>
      </c>
      <c r="K18" s="45">
        <v>84</v>
      </c>
      <c r="L18" s="45">
        <v>88</v>
      </c>
      <c r="M18" s="45">
        <v>92</v>
      </c>
      <c r="N18" s="45">
        <v>96</v>
      </c>
      <c r="O18" s="25">
        <f t="shared" si="1"/>
        <v>916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15" customHeight="1" x14ac:dyDescent="0.5">
      <c r="A19" s="13" t="s">
        <v>30</v>
      </c>
      <c r="B19" s="14">
        <v>344.25</v>
      </c>
      <c r="C19" s="45">
        <v>5</v>
      </c>
      <c r="D19" s="45">
        <v>6</v>
      </c>
      <c r="E19" s="45">
        <v>7</v>
      </c>
      <c r="F19" s="45">
        <v>8</v>
      </c>
      <c r="G19" s="45">
        <v>9</v>
      </c>
      <c r="H19" s="45">
        <v>10</v>
      </c>
      <c r="I19" s="45">
        <v>11</v>
      </c>
      <c r="J19" s="24">
        <f t="shared" si="0"/>
        <v>11</v>
      </c>
      <c r="K19" s="45">
        <v>12</v>
      </c>
      <c r="L19" s="45">
        <v>13</v>
      </c>
      <c r="M19" s="45">
        <v>14</v>
      </c>
      <c r="N19" s="45">
        <v>15</v>
      </c>
      <c r="O19" s="25">
        <f t="shared" si="1"/>
        <v>121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15" customHeight="1" x14ac:dyDescent="0.5">
      <c r="A20" s="13" t="s">
        <v>31</v>
      </c>
      <c r="B20" s="15">
        <v>342.39</v>
      </c>
      <c r="C20" s="45">
        <v>5</v>
      </c>
      <c r="D20" s="45">
        <v>6</v>
      </c>
      <c r="E20" s="45">
        <v>7</v>
      </c>
      <c r="F20" s="45">
        <v>8</v>
      </c>
      <c r="G20" s="45">
        <v>9</v>
      </c>
      <c r="H20" s="45">
        <v>10</v>
      </c>
      <c r="I20" s="45">
        <v>11</v>
      </c>
      <c r="J20" s="24">
        <f t="shared" si="0"/>
        <v>11</v>
      </c>
      <c r="K20" s="45">
        <v>12</v>
      </c>
      <c r="L20" s="45">
        <v>13</v>
      </c>
      <c r="M20" s="45">
        <v>14</v>
      </c>
      <c r="N20" s="45">
        <v>15</v>
      </c>
      <c r="O20" s="25">
        <f t="shared" si="1"/>
        <v>121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.15" customHeight="1" x14ac:dyDescent="0.5">
      <c r="A21" s="13" t="s">
        <v>32</v>
      </c>
      <c r="B21" s="15">
        <v>213.99</v>
      </c>
      <c r="C21" s="45"/>
      <c r="D21" s="45"/>
      <c r="E21" s="45"/>
      <c r="F21" s="45"/>
      <c r="G21" s="45"/>
      <c r="H21" s="45"/>
      <c r="I21" s="45"/>
      <c r="J21" s="24">
        <f t="shared" si="0"/>
        <v>0</v>
      </c>
      <c r="K21" s="45"/>
      <c r="L21" s="45"/>
      <c r="M21" s="45"/>
      <c r="N21" s="45"/>
      <c r="O21" s="25">
        <f t="shared" si="1"/>
        <v>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8.15" customHeight="1" x14ac:dyDescent="0.5">
      <c r="A22" s="16" t="s">
        <v>33</v>
      </c>
      <c r="B22" s="15">
        <v>1512.71</v>
      </c>
      <c r="C22" s="45">
        <v>53</v>
      </c>
      <c r="D22" s="45">
        <v>55</v>
      </c>
      <c r="E22" s="45">
        <v>57</v>
      </c>
      <c r="F22" s="45">
        <v>59</v>
      </c>
      <c r="G22" s="45">
        <v>61</v>
      </c>
      <c r="H22" s="45">
        <v>63</v>
      </c>
      <c r="I22" s="45">
        <v>65</v>
      </c>
      <c r="J22" s="24">
        <f t="shared" si="0"/>
        <v>65</v>
      </c>
      <c r="K22" s="45">
        <v>67</v>
      </c>
      <c r="L22" s="45">
        <v>69</v>
      </c>
      <c r="M22" s="45">
        <v>71</v>
      </c>
      <c r="N22" s="45">
        <v>73</v>
      </c>
      <c r="O22" s="25">
        <f t="shared" si="1"/>
        <v>758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8.15" customHeight="1" x14ac:dyDescent="0.5">
      <c r="A23" s="13" t="s">
        <v>34</v>
      </c>
      <c r="B23" s="14">
        <v>573.75</v>
      </c>
      <c r="C23" s="45">
        <v>30</v>
      </c>
      <c r="D23" s="45">
        <v>32</v>
      </c>
      <c r="E23" s="45">
        <v>34</v>
      </c>
      <c r="F23" s="45">
        <v>36</v>
      </c>
      <c r="G23" s="45">
        <v>38</v>
      </c>
      <c r="H23" s="45">
        <v>40</v>
      </c>
      <c r="I23" s="45">
        <v>42</v>
      </c>
      <c r="J23" s="24">
        <f t="shared" si="0"/>
        <v>42</v>
      </c>
      <c r="K23" s="45">
        <v>44</v>
      </c>
      <c r="L23" s="45">
        <v>46</v>
      </c>
      <c r="M23" s="45">
        <v>48</v>
      </c>
      <c r="N23" s="45">
        <v>50</v>
      </c>
      <c r="O23" s="25">
        <f t="shared" si="1"/>
        <v>482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8.15" customHeight="1" x14ac:dyDescent="0.5">
      <c r="A24" s="13" t="s">
        <v>35</v>
      </c>
      <c r="B24" s="14">
        <v>979.29</v>
      </c>
      <c r="C24" s="45">
        <v>24</v>
      </c>
      <c r="D24" s="45">
        <v>25</v>
      </c>
      <c r="E24" s="45">
        <v>26</v>
      </c>
      <c r="F24" s="45">
        <v>27</v>
      </c>
      <c r="G24" s="45">
        <v>28</v>
      </c>
      <c r="H24" s="45">
        <v>29</v>
      </c>
      <c r="I24" s="45">
        <v>30</v>
      </c>
      <c r="J24" s="24">
        <f t="shared" si="0"/>
        <v>30</v>
      </c>
      <c r="K24" s="45">
        <v>31</v>
      </c>
      <c r="L24" s="45">
        <v>32</v>
      </c>
      <c r="M24" s="45">
        <v>33</v>
      </c>
      <c r="N24" s="45">
        <v>34</v>
      </c>
      <c r="O24" s="25">
        <f t="shared" si="1"/>
        <v>349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15" customHeight="1" x14ac:dyDescent="0.5">
      <c r="A25" s="13" t="s">
        <v>36</v>
      </c>
      <c r="B25" s="14">
        <v>491.78</v>
      </c>
      <c r="C25" s="45">
        <v>20</v>
      </c>
      <c r="D25" s="45">
        <v>22</v>
      </c>
      <c r="E25" s="45">
        <v>24</v>
      </c>
      <c r="F25" s="45">
        <v>26</v>
      </c>
      <c r="G25" s="45">
        <v>28</v>
      </c>
      <c r="H25" s="45">
        <v>30</v>
      </c>
      <c r="I25" s="45">
        <v>32</v>
      </c>
      <c r="J25" s="24">
        <f t="shared" si="0"/>
        <v>32</v>
      </c>
      <c r="K25" s="45">
        <v>34</v>
      </c>
      <c r="L25" s="45">
        <v>36</v>
      </c>
      <c r="M25" s="45">
        <v>38</v>
      </c>
      <c r="N25" s="45">
        <v>40</v>
      </c>
      <c r="O25" s="25">
        <f t="shared" si="1"/>
        <v>362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8.15" customHeight="1" x14ac:dyDescent="0.5">
      <c r="A26" s="13" t="s">
        <v>37</v>
      </c>
      <c r="B26" s="14">
        <v>589.74</v>
      </c>
      <c r="C26" s="45">
        <v>10</v>
      </c>
      <c r="D26" s="45">
        <v>12</v>
      </c>
      <c r="E26" s="45">
        <v>14</v>
      </c>
      <c r="F26" s="45">
        <v>16</v>
      </c>
      <c r="G26" s="45">
        <v>18</v>
      </c>
      <c r="H26" s="45">
        <v>20</v>
      </c>
      <c r="I26" s="45">
        <v>22</v>
      </c>
      <c r="J26" s="24">
        <f t="shared" si="0"/>
        <v>22</v>
      </c>
      <c r="K26" s="45">
        <v>24</v>
      </c>
      <c r="L26" s="45">
        <v>26</v>
      </c>
      <c r="M26" s="45">
        <v>28</v>
      </c>
      <c r="N26" s="45">
        <v>30</v>
      </c>
      <c r="O26" s="25">
        <f t="shared" si="1"/>
        <v>242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8.15" customHeight="1" x14ac:dyDescent="0.5">
      <c r="A27" s="16" t="s">
        <v>38</v>
      </c>
      <c r="B27" s="15">
        <v>198</v>
      </c>
      <c r="C27" s="45">
        <v>100</v>
      </c>
      <c r="D27" s="45">
        <v>102</v>
      </c>
      <c r="E27" s="45">
        <v>104</v>
      </c>
      <c r="F27" s="45">
        <v>106</v>
      </c>
      <c r="G27" s="45">
        <v>108</v>
      </c>
      <c r="H27" s="45">
        <v>110</v>
      </c>
      <c r="I27" s="45">
        <v>112</v>
      </c>
      <c r="J27" s="24">
        <f t="shared" si="0"/>
        <v>112</v>
      </c>
      <c r="K27" s="45">
        <v>114</v>
      </c>
      <c r="L27" s="45">
        <v>116</v>
      </c>
      <c r="M27" s="45">
        <v>118</v>
      </c>
      <c r="N27" s="45">
        <v>120</v>
      </c>
      <c r="O27" s="25">
        <f t="shared" si="1"/>
        <v>1322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8.15" customHeight="1" x14ac:dyDescent="0.5">
      <c r="A28" s="17" t="s">
        <v>39</v>
      </c>
      <c r="B28" s="1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8.15" customHeight="1" x14ac:dyDescent="0.5">
      <c r="A29" s="17" t="s">
        <v>40</v>
      </c>
      <c r="B29" s="1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9"/>
      <c r="O29" s="2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8.15" customHeight="1" x14ac:dyDescent="0.5">
      <c r="A30" s="30" t="s">
        <v>41</v>
      </c>
      <c r="B30" s="1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9"/>
      <c r="O30" s="2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8.15" customHeight="1" x14ac:dyDescent="0.5">
      <c r="A31" s="30" t="s">
        <v>42</v>
      </c>
      <c r="B31" s="1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9"/>
      <c r="O31" s="2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8.15" customHeight="1" thickBot="1" x14ac:dyDescent="0.45">
      <c r="A32" s="30" t="s">
        <v>43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3"/>
      <c r="O32" s="34"/>
    </row>
    <row r="33" spans="1:15" ht="26.25" customHeight="1" thickTop="1" thickBot="1" x14ac:dyDescent="0.45">
      <c r="A33" s="19" t="s">
        <v>44</v>
      </c>
      <c r="B33" s="37"/>
      <c r="C33" s="47">
        <f t="shared" ref="C33:O33" si="2">SUMPRODUCT($B$5:$B$32,C5:C32)</f>
        <v>1095181.5900000001</v>
      </c>
      <c r="D33" s="47">
        <f t="shared" si="2"/>
        <v>1121460.6699999997</v>
      </c>
      <c r="E33" s="47">
        <f t="shared" si="2"/>
        <v>1147739.75</v>
      </c>
      <c r="F33" s="47">
        <f t="shared" si="2"/>
        <v>1174018.83</v>
      </c>
      <c r="G33" s="47">
        <f t="shared" si="2"/>
        <v>1200297.9100000001</v>
      </c>
      <c r="H33" s="47">
        <f t="shared" si="2"/>
        <v>1226576.99</v>
      </c>
      <c r="I33" s="47">
        <f t="shared" si="2"/>
        <v>1252856.0699999998</v>
      </c>
      <c r="J33" s="47">
        <f t="shared" si="2"/>
        <v>1252856.0699999998</v>
      </c>
      <c r="K33" s="47">
        <f t="shared" si="2"/>
        <v>1279135.1499999999</v>
      </c>
      <c r="L33" s="47">
        <f t="shared" si="2"/>
        <v>1305414.2300000002</v>
      </c>
      <c r="M33" s="47">
        <f t="shared" si="2"/>
        <v>1331693.3099999998</v>
      </c>
      <c r="N33" s="48">
        <f t="shared" si="2"/>
        <v>1357972.3900000001</v>
      </c>
      <c r="O33" s="49">
        <f t="shared" si="2"/>
        <v>14745202.959999999</v>
      </c>
    </row>
    <row r="34" spans="1:15" ht="31.5" customHeight="1" thickTop="1" thickBot="1" x14ac:dyDescent="0.45">
      <c r="A34" s="19" t="s">
        <v>45</v>
      </c>
      <c r="B34" s="37"/>
      <c r="C34" s="47">
        <f t="shared" ref="C34:O34" si="3">C33/0.9</f>
        <v>1216868.4333333333</v>
      </c>
      <c r="D34" s="47">
        <f t="shared" si="3"/>
        <v>1246067.4111111108</v>
      </c>
      <c r="E34" s="47">
        <f t="shared" si="3"/>
        <v>1275266.3888888888</v>
      </c>
      <c r="F34" s="47">
        <f t="shared" si="3"/>
        <v>1304465.3666666667</v>
      </c>
      <c r="G34" s="47">
        <f t="shared" si="3"/>
        <v>1333664.3444444446</v>
      </c>
      <c r="H34" s="47">
        <f t="shared" si="3"/>
        <v>1362863.3222222221</v>
      </c>
      <c r="I34" s="47">
        <f t="shared" si="3"/>
        <v>1392062.2999999998</v>
      </c>
      <c r="J34" s="47">
        <f t="shared" si="3"/>
        <v>1392062.2999999998</v>
      </c>
      <c r="K34" s="47">
        <f t="shared" si="3"/>
        <v>1421261.2777777778</v>
      </c>
      <c r="L34" s="47">
        <f t="shared" si="3"/>
        <v>1450460.2555555557</v>
      </c>
      <c r="M34" s="47">
        <f t="shared" si="3"/>
        <v>1479659.2333333332</v>
      </c>
      <c r="N34" s="48">
        <f t="shared" si="3"/>
        <v>1508858.2111111113</v>
      </c>
      <c r="O34" s="49">
        <f t="shared" si="3"/>
        <v>16383558.844444443</v>
      </c>
    </row>
    <row r="35" spans="1:15" ht="15.75" thickTop="1" x14ac:dyDescent="0.25"/>
    <row r="38" spans="1:15" ht="16.350000000000001" customHeight="1" x14ac:dyDescent="0.25"/>
  </sheetData>
  <mergeCells count="3">
    <mergeCell ref="A1:O1"/>
    <mergeCell ref="G2:O2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61AA-43B7-4F5D-BAC9-2CECB2BF5B78}">
  <dimension ref="A1:Z38"/>
  <sheetViews>
    <sheetView zoomScale="60" zoomScaleNormal="60" workbookViewId="0">
      <selection activeCell="G13" sqref="G13"/>
    </sheetView>
  </sheetViews>
  <sheetFormatPr defaultRowHeight="15" x14ac:dyDescent="0.25"/>
  <cols>
    <col min="1" max="1" width="34.7109375" customWidth="1"/>
    <col min="2" max="2" width="12.28515625" bestFit="1" customWidth="1"/>
    <col min="3" max="14" width="17.7109375" customWidth="1"/>
    <col min="15" max="15" width="23" customWidth="1"/>
  </cols>
  <sheetData>
    <row r="1" spans="1:26" ht="37.5" customHeight="1" thickTop="1" thickBo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spans="1:26" ht="36.75" customHeight="1" thickTop="1" thickBot="1" x14ac:dyDescent="0.3">
      <c r="A2" s="43" t="s">
        <v>50</v>
      </c>
      <c r="B2" s="43"/>
      <c r="C2" s="50"/>
      <c r="D2" s="50"/>
      <c r="E2" s="50"/>
      <c r="F2" s="50"/>
      <c r="G2" s="54" t="s">
        <v>54</v>
      </c>
      <c r="H2" s="54"/>
      <c r="I2" s="54"/>
      <c r="J2" s="54"/>
      <c r="K2" s="54"/>
      <c r="L2" s="54"/>
      <c r="M2" s="54"/>
      <c r="N2" s="54"/>
      <c r="O2" s="54"/>
    </row>
    <row r="3" spans="1:26" s="2" customFormat="1" ht="34.5" customHeight="1" thickTop="1" thickBot="1" x14ac:dyDescent="0.3">
      <c r="A3" s="20" t="s">
        <v>1</v>
      </c>
      <c r="B3" s="2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36" t="s">
        <v>15</v>
      </c>
    </row>
    <row r="4" spans="1:26" s="2" customFormat="1" ht="18" hidden="1" customHeight="1" x14ac:dyDescent="0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2"/>
      <c r="O4" s="23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15" customHeight="1" thickTop="1" x14ac:dyDescent="0.5">
      <c r="A5" s="8" t="s">
        <v>16</v>
      </c>
      <c r="B5" s="9">
        <v>742.05</v>
      </c>
      <c r="C5" s="24">
        <v>11</v>
      </c>
      <c r="D5" s="44">
        <v>12</v>
      </c>
      <c r="E5" s="24">
        <v>13</v>
      </c>
      <c r="F5" s="44">
        <v>14</v>
      </c>
      <c r="G5" s="24">
        <v>15</v>
      </c>
      <c r="H5" s="44">
        <v>16</v>
      </c>
      <c r="I5" s="24">
        <v>17</v>
      </c>
      <c r="J5" s="44">
        <f>I5</f>
        <v>17</v>
      </c>
      <c r="K5" s="44">
        <v>18</v>
      </c>
      <c r="L5" s="24">
        <v>19</v>
      </c>
      <c r="M5" s="44">
        <v>20</v>
      </c>
      <c r="N5" s="24">
        <v>21</v>
      </c>
      <c r="O5" s="25">
        <f>SUM(C5:N5)</f>
        <v>193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15" customHeight="1" x14ac:dyDescent="0.5">
      <c r="A6" s="10" t="s">
        <v>17</v>
      </c>
      <c r="B6" s="11">
        <v>2065.5</v>
      </c>
      <c r="C6" s="24">
        <v>32</v>
      </c>
      <c r="D6" s="24">
        <v>34</v>
      </c>
      <c r="E6" s="24">
        <v>36</v>
      </c>
      <c r="F6" s="24">
        <v>38</v>
      </c>
      <c r="G6" s="24">
        <v>40</v>
      </c>
      <c r="H6" s="24">
        <v>42</v>
      </c>
      <c r="I6" s="24">
        <v>44</v>
      </c>
      <c r="J6" s="44">
        <f t="shared" ref="J6:J27" si="0">I6</f>
        <v>44</v>
      </c>
      <c r="K6" s="24">
        <v>46</v>
      </c>
      <c r="L6" s="24">
        <v>48</v>
      </c>
      <c r="M6" s="24">
        <v>50</v>
      </c>
      <c r="N6" s="24">
        <v>52</v>
      </c>
      <c r="O6" s="25">
        <f t="shared" ref="O6:O27" si="1">SUM(C6:N6)</f>
        <v>506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15" customHeight="1" x14ac:dyDescent="0.5">
      <c r="A7" s="10" t="s">
        <v>18</v>
      </c>
      <c r="B7" s="26">
        <v>600.37</v>
      </c>
      <c r="C7" s="44">
        <v>10</v>
      </c>
      <c r="D7" s="44">
        <v>12</v>
      </c>
      <c r="E7" s="44">
        <v>14</v>
      </c>
      <c r="F7" s="44">
        <v>16</v>
      </c>
      <c r="G7" s="44">
        <v>18</v>
      </c>
      <c r="H7" s="44">
        <v>20</v>
      </c>
      <c r="I7" s="44">
        <v>22</v>
      </c>
      <c r="J7" s="44">
        <f t="shared" si="0"/>
        <v>22</v>
      </c>
      <c r="K7" s="44">
        <v>24</v>
      </c>
      <c r="L7" s="44">
        <v>26</v>
      </c>
      <c r="M7" s="44">
        <v>28</v>
      </c>
      <c r="N7" s="44">
        <v>30</v>
      </c>
      <c r="O7" s="25">
        <f t="shared" si="1"/>
        <v>242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15" customHeight="1" x14ac:dyDescent="0.5">
      <c r="A8" s="10" t="s">
        <v>19</v>
      </c>
      <c r="B8" s="26">
        <v>774.03</v>
      </c>
      <c r="C8" s="24">
        <v>10</v>
      </c>
      <c r="D8" s="44">
        <v>12</v>
      </c>
      <c r="E8" s="24">
        <v>14</v>
      </c>
      <c r="F8" s="44">
        <v>16</v>
      </c>
      <c r="G8" s="24">
        <v>18</v>
      </c>
      <c r="H8" s="44">
        <v>20</v>
      </c>
      <c r="I8" s="24">
        <v>22</v>
      </c>
      <c r="J8" s="44">
        <f t="shared" si="0"/>
        <v>22</v>
      </c>
      <c r="K8" s="44">
        <v>24</v>
      </c>
      <c r="L8" s="24">
        <v>26</v>
      </c>
      <c r="M8" s="44">
        <v>28</v>
      </c>
      <c r="N8" s="24">
        <v>30</v>
      </c>
      <c r="O8" s="25">
        <f t="shared" si="1"/>
        <v>242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15" customHeight="1" x14ac:dyDescent="0.5">
      <c r="A9" s="10" t="s">
        <v>20</v>
      </c>
      <c r="B9" s="11">
        <v>459</v>
      </c>
      <c r="C9" s="24">
        <v>10</v>
      </c>
      <c r="D9" s="44">
        <v>12</v>
      </c>
      <c r="E9" s="24">
        <v>14</v>
      </c>
      <c r="F9" s="44">
        <v>16</v>
      </c>
      <c r="G9" s="24">
        <v>18</v>
      </c>
      <c r="H9" s="44">
        <v>20</v>
      </c>
      <c r="I9" s="24">
        <v>22</v>
      </c>
      <c r="J9" s="44">
        <f t="shared" si="0"/>
        <v>22</v>
      </c>
      <c r="K9" s="44">
        <v>24</v>
      </c>
      <c r="L9" s="24">
        <v>26</v>
      </c>
      <c r="M9" s="44">
        <v>28</v>
      </c>
      <c r="N9" s="24">
        <v>30</v>
      </c>
      <c r="O9" s="25">
        <f t="shared" si="1"/>
        <v>242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15" customHeight="1" x14ac:dyDescent="0.5">
      <c r="A10" s="10" t="s">
        <v>21</v>
      </c>
      <c r="B10" s="11">
        <v>765</v>
      </c>
      <c r="C10" s="24">
        <v>10</v>
      </c>
      <c r="D10" s="44">
        <v>12</v>
      </c>
      <c r="E10" s="24">
        <v>14</v>
      </c>
      <c r="F10" s="44">
        <v>16</v>
      </c>
      <c r="G10" s="24">
        <v>18</v>
      </c>
      <c r="H10" s="44">
        <v>20</v>
      </c>
      <c r="I10" s="24">
        <v>22</v>
      </c>
      <c r="J10" s="44">
        <f t="shared" si="0"/>
        <v>22</v>
      </c>
      <c r="K10" s="44">
        <v>24</v>
      </c>
      <c r="L10" s="24">
        <v>26</v>
      </c>
      <c r="M10" s="44">
        <v>28</v>
      </c>
      <c r="N10" s="24">
        <v>30</v>
      </c>
      <c r="O10" s="25">
        <f t="shared" si="1"/>
        <v>242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15" customHeight="1" x14ac:dyDescent="0.5">
      <c r="A11" s="10" t="s">
        <v>22</v>
      </c>
      <c r="B11" s="11">
        <v>780.99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44">
        <f t="shared" si="0"/>
        <v>0</v>
      </c>
      <c r="K11" s="24">
        <v>0</v>
      </c>
      <c r="L11" s="24">
        <v>0</v>
      </c>
      <c r="M11" s="24">
        <v>0</v>
      </c>
      <c r="N11" s="24">
        <v>0</v>
      </c>
      <c r="O11" s="25">
        <f t="shared" si="1"/>
        <v>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15" customHeight="1" x14ac:dyDescent="0.5">
      <c r="A12" s="10" t="s">
        <v>23</v>
      </c>
      <c r="B12" s="11">
        <v>344.25</v>
      </c>
      <c r="C12" s="24">
        <v>20</v>
      </c>
      <c r="D12" s="44">
        <v>22</v>
      </c>
      <c r="E12" s="24">
        <v>24</v>
      </c>
      <c r="F12" s="44">
        <v>26</v>
      </c>
      <c r="G12" s="24">
        <v>28</v>
      </c>
      <c r="H12" s="44">
        <v>30</v>
      </c>
      <c r="I12" s="24">
        <v>32</v>
      </c>
      <c r="J12" s="44">
        <f t="shared" si="0"/>
        <v>32</v>
      </c>
      <c r="K12" s="44">
        <v>34</v>
      </c>
      <c r="L12" s="24">
        <v>36</v>
      </c>
      <c r="M12" s="44">
        <v>38</v>
      </c>
      <c r="N12" s="24">
        <v>40</v>
      </c>
      <c r="O12" s="25">
        <f t="shared" si="1"/>
        <v>362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15" customHeight="1" x14ac:dyDescent="0.5">
      <c r="A13" s="10" t="s">
        <v>24</v>
      </c>
      <c r="B13" s="11">
        <v>428.4</v>
      </c>
      <c r="C13" s="24">
        <v>330</v>
      </c>
      <c r="D13" s="24">
        <v>335</v>
      </c>
      <c r="E13" s="24">
        <v>340</v>
      </c>
      <c r="F13" s="24">
        <v>345</v>
      </c>
      <c r="G13" s="24">
        <v>350</v>
      </c>
      <c r="H13" s="24">
        <v>355</v>
      </c>
      <c r="I13" s="24">
        <v>360</v>
      </c>
      <c r="J13" s="44">
        <f t="shared" si="0"/>
        <v>360</v>
      </c>
      <c r="K13" s="24">
        <v>365</v>
      </c>
      <c r="L13" s="24">
        <v>370</v>
      </c>
      <c r="M13" s="24">
        <v>375</v>
      </c>
      <c r="N13" s="24">
        <v>380</v>
      </c>
      <c r="O13" s="25">
        <f t="shared" si="1"/>
        <v>4265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15" customHeight="1" x14ac:dyDescent="0.5">
      <c r="A14" s="10" t="s">
        <v>25</v>
      </c>
      <c r="B14" s="11">
        <v>459</v>
      </c>
      <c r="C14" s="24">
        <v>5</v>
      </c>
      <c r="D14" s="44">
        <v>6</v>
      </c>
      <c r="E14" s="24">
        <v>7</v>
      </c>
      <c r="F14" s="44">
        <v>8</v>
      </c>
      <c r="G14" s="24">
        <v>9</v>
      </c>
      <c r="H14" s="44">
        <v>10</v>
      </c>
      <c r="I14" s="24">
        <v>11</v>
      </c>
      <c r="J14" s="44">
        <f t="shared" si="0"/>
        <v>11</v>
      </c>
      <c r="K14" s="44">
        <v>12</v>
      </c>
      <c r="L14" s="24">
        <v>13</v>
      </c>
      <c r="M14" s="44">
        <v>14</v>
      </c>
      <c r="N14" s="24">
        <v>15</v>
      </c>
      <c r="O14" s="25">
        <f t="shared" si="1"/>
        <v>121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15" customHeight="1" x14ac:dyDescent="0.5">
      <c r="A15" s="10" t="s">
        <v>26</v>
      </c>
      <c r="B15" s="11">
        <v>550.79999999999995</v>
      </c>
      <c r="C15" s="24">
        <v>5</v>
      </c>
      <c r="D15" s="44">
        <v>6</v>
      </c>
      <c r="E15" s="24">
        <v>7</v>
      </c>
      <c r="F15" s="44">
        <v>8</v>
      </c>
      <c r="G15" s="24">
        <v>9</v>
      </c>
      <c r="H15" s="44">
        <v>10</v>
      </c>
      <c r="I15" s="24">
        <v>11</v>
      </c>
      <c r="J15" s="44">
        <f t="shared" si="0"/>
        <v>11</v>
      </c>
      <c r="K15" s="44">
        <v>12</v>
      </c>
      <c r="L15" s="24">
        <v>13</v>
      </c>
      <c r="M15" s="44">
        <v>14</v>
      </c>
      <c r="N15" s="24">
        <v>15</v>
      </c>
      <c r="O15" s="25">
        <f t="shared" si="1"/>
        <v>121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8.15" customHeight="1" x14ac:dyDescent="0.5">
      <c r="A16" s="13" t="s">
        <v>27</v>
      </c>
      <c r="B16" s="14">
        <v>122.4</v>
      </c>
      <c r="C16" s="45">
        <v>75</v>
      </c>
      <c r="D16" s="45">
        <v>78</v>
      </c>
      <c r="E16" s="45">
        <v>81</v>
      </c>
      <c r="F16" s="45">
        <v>84</v>
      </c>
      <c r="G16" s="45">
        <v>87</v>
      </c>
      <c r="H16" s="45">
        <v>90</v>
      </c>
      <c r="I16" s="45">
        <v>93</v>
      </c>
      <c r="J16" s="44">
        <f t="shared" si="0"/>
        <v>93</v>
      </c>
      <c r="K16" s="45">
        <v>96</v>
      </c>
      <c r="L16" s="45">
        <v>99</v>
      </c>
      <c r="M16" s="45">
        <v>102</v>
      </c>
      <c r="N16" s="45">
        <v>105</v>
      </c>
      <c r="O16" s="25">
        <f t="shared" si="1"/>
        <v>1083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8.15" customHeight="1" x14ac:dyDescent="0.5">
      <c r="A17" s="13" t="s">
        <v>28</v>
      </c>
      <c r="B17" s="14">
        <v>481.95</v>
      </c>
      <c r="C17" s="46">
        <v>40</v>
      </c>
      <c r="D17" s="46">
        <v>44</v>
      </c>
      <c r="E17" s="46">
        <v>48</v>
      </c>
      <c r="F17" s="46">
        <v>52</v>
      </c>
      <c r="G17" s="46">
        <v>56</v>
      </c>
      <c r="H17" s="46">
        <v>60</v>
      </c>
      <c r="I17" s="46">
        <v>64</v>
      </c>
      <c r="J17" s="44">
        <f t="shared" si="0"/>
        <v>64</v>
      </c>
      <c r="K17" s="46">
        <v>68</v>
      </c>
      <c r="L17" s="46">
        <v>72</v>
      </c>
      <c r="M17" s="46">
        <v>76</v>
      </c>
      <c r="N17" s="46">
        <v>80</v>
      </c>
      <c r="O17" s="25">
        <f t="shared" si="1"/>
        <v>724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15" customHeight="1" x14ac:dyDescent="0.5">
      <c r="A18" s="13" t="s">
        <v>29</v>
      </c>
      <c r="B18" s="14">
        <v>283.05</v>
      </c>
      <c r="C18" s="45">
        <v>100</v>
      </c>
      <c r="D18" s="45">
        <v>104</v>
      </c>
      <c r="E18" s="45">
        <v>108</v>
      </c>
      <c r="F18" s="45">
        <v>112</v>
      </c>
      <c r="G18" s="45">
        <v>116</v>
      </c>
      <c r="H18" s="45">
        <v>120</v>
      </c>
      <c r="I18" s="45">
        <v>124</v>
      </c>
      <c r="J18" s="44">
        <f t="shared" si="0"/>
        <v>124</v>
      </c>
      <c r="K18" s="45">
        <v>128</v>
      </c>
      <c r="L18" s="45">
        <v>132</v>
      </c>
      <c r="M18" s="45">
        <v>136</v>
      </c>
      <c r="N18" s="45">
        <v>140</v>
      </c>
      <c r="O18" s="25">
        <f t="shared" si="1"/>
        <v>1444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15" customHeight="1" x14ac:dyDescent="0.5">
      <c r="A19" s="13" t="s">
        <v>30</v>
      </c>
      <c r="B19" s="14">
        <v>344.25</v>
      </c>
      <c r="C19" s="45">
        <v>5</v>
      </c>
      <c r="D19" s="45">
        <v>6</v>
      </c>
      <c r="E19" s="45">
        <v>7</v>
      </c>
      <c r="F19" s="45">
        <v>8</v>
      </c>
      <c r="G19" s="45">
        <v>9</v>
      </c>
      <c r="H19" s="45">
        <v>10</v>
      </c>
      <c r="I19" s="45">
        <v>11</v>
      </c>
      <c r="J19" s="44">
        <f t="shared" si="0"/>
        <v>11</v>
      </c>
      <c r="K19" s="45">
        <v>12</v>
      </c>
      <c r="L19" s="45">
        <v>13</v>
      </c>
      <c r="M19" s="45">
        <v>14</v>
      </c>
      <c r="N19" s="45">
        <v>15</v>
      </c>
      <c r="O19" s="25">
        <f t="shared" si="1"/>
        <v>121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15" customHeight="1" x14ac:dyDescent="0.5">
      <c r="A20" s="13" t="s">
        <v>31</v>
      </c>
      <c r="B20" s="15">
        <v>342.39</v>
      </c>
      <c r="C20" s="45">
        <v>5</v>
      </c>
      <c r="D20" s="45">
        <v>6</v>
      </c>
      <c r="E20" s="45">
        <v>7</v>
      </c>
      <c r="F20" s="45">
        <v>8</v>
      </c>
      <c r="G20" s="45">
        <v>9</v>
      </c>
      <c r="H20" s="45">
        <v>10</v>
      </c>
      <c r="I20" s="45">
        <v>11</v>
      </c>
      <c r="J20" s="44">
        <f t="shared" si="0"/>
        <v>11</v>
      </c>
      <c r="K20" s="45">
        <v>12</v>
      </c>
      <c r="L20" s="45">
        <v>13</v>
      </c>
      <c r="M20" s="45">
        <v>14</v>
      </c>
      <c r="N20" s="45">
        <v>15</v>
      </c>
      <c r="O20" s="25">
        <f t="shared" si="1"/>
        <v>121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.15" customHeight="1" x14ac:dyDescent="0.5">
      <c r="A21" s="13" t="s">
        <v>32</v>
      </c>
      <c r="B21" s="15">
        <v>213.99</v>
      </c>
      <c r="C21" s="45"/>
      <c r="D21" s="45"/>
      <c r="E21" s="45"/>
      <c r="F21" s="45"/>
      <c r="G21" s="45"/>
      <c r="H21" s="45"/>
      <c r="I21" s="45"/>
      <c r="J21" s="44">
        <f t="shared" si="0"/>
        <v>0</v>
      </c>
      <c r="K21" s="45"/>
      <c r="L21" s="45"/>
      <c r="M21" s="45"/>
      <c r="N21" s="45"/>
      <c r="O21" s="25">
        <f t="shared" si="1"/>
        <v>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8.15" customHeight="1" x14ac:dyDescent="0.5">
      <c r="A22" s="16" t="s">
        <v>33</v>
      </c>
      <c r="B22" s="15">
        <v>1512.71</v>
      </c>
      <c r="C22" s="45">
        <v>5</v>
      </c>
      <c r="D22" s="45">
        <v>6</v>
      </c>
      <c r="E22" s="45">
        <v>7</v>
      </c>
      <c r="F22" s="45">
        <v>8</v>
      </c>
      <c r="G22" s="45">
        <v>9</v>
      </c>
      <c r="H22" s="45">
        <v>10</v>
      </c>
      <c r="I22" s="45">
        <v>11</v>
      </c>
      <c r="J22" s="44">
        <f t="shared" si="0"/>
        <v>11</v>
      </c>
      <c r="K22" s="45">
        <v>12</v>
      </c>
      <c r="L22" s="45">
        <v>13</v>
      </c>
      <c r="M22" s="45">
        <v>14</v>
      </c>
      <c r="N22" s="45">
        <v>15</v>
      </c>
      <c r="O22" s="25">
        <f t="shared" si="1"/>
        <v>121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8.15" customHeight="1" x14ac:dyDescent="0.5">
      <c r="A23" s="13" t="s">
        <v>34</v>
      </c>
      <c r="B23" s="14">
        <v>573.75</v>
      </c>
      <c r="C23" s="45">
        <v>5</v>
      </c>
      <c r="D23" s="46">
        <v>6</v>
      </c>
      <c r="E23" s="45">
        <v>7</v>
      </c>
      <c r="F23" s="46">
        <v>8</v>
      </c>
      <c r="G23" s="45">
        <v>9</v>
      </c>
      <c r="H23" s="46">
        <v>10</v>
      </c>
      <c r="I23" s="45">
        <v>11</v>
      </c>
      <c r="J23" s="44">
        <f t="shared" si="0"/>
        <v>11</v>
      </c>
      <c r="K23" s="46">
        <v>12</v>
      </c>
      <c r="L23" s="45">
        <v>13</v>
      </c>
      <c r="M23" s="46">
        <v>14</v>
      </c>
      <c r="N23" s="45">
        <v>15</v>
      </c>
      <c r="O23" s="25">
        <f t="shared" si="1"/>
        <v>121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8.15" customHeight="1" x14ac:dyDescent="0.5">
      <c r="A24" s="13" t="s">
        <v>35</v>
      </c>
      <c r="B24" s="14">
        <v>979.29</v>
      </c>
      <c r="C24" s="45">
        <v>5</v>
      </c>
      <c r="D24" s="45">
        <v>6</v>
      </c>
      <c r="E24" s="45">
        <v>7</v>
      </c>
      <c r="F24" s="45">
        <v>8</v>
      </c>
      <c r="G24" s="45">
        <v>9</v>
      </c>
      <c r="H24" s="45">
        <v>10</v>
      </c>
      <c r="I24" s="45">
        <v>11</v>
      </c>
      <c r="J24" s="44">
        <f t="shared" si="0"/>
        <v>11</v>
      </c>
      <c r="K24" s="45">
        <v>12</v>
      </c>
      <c r="L24" s="45">
        <v>13</v>
      </c>
      <c r="M24" s="45">
        <v>14</v>
      </c>
      <c r="N24" s="45">
        <v>15</v>
      </c>
      <c r="O24" s="25">
        <f t="shared" si="1"/>
        <v>121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15" customHeight="1" x14ac:dyDescent="0.5">
      <c r="A25" s="13" t="s">
        <v>36</v>
      </c>
      <c r="B25" s="14">
        <v>491.78</v>
      </c>
      <c r="C25" s="45">
        <v>20</v>
      </c>
      <c r="D25" s="45">
        <v>22</v>
      </c>
      <c r="E25" s="45">
        <v>24</v>
      </c>
      <c r="F25" s="45">
        <v>26</v>
      </c>
      <c r="G25" s="45">
        <v>28</v>
      </c>
      <c r="H25" s="45">
        <v>30</v>
      </c>
      <c r="I25" s="45">
        <v>32</v>
      </c>
      <c r="J25" s="44">
        <f t="shared" si="0"/>
        <v>32</v>
      </c>
      <c r="K25" s="45">
        <v>34</v>
      </c>
      <c r="L25" s="45">
        <v>36</v>
      </c>
      <c r="M25" s="45">
        <v>38</v>
      </c>
      <c r="N25" s="45">
        <v>40</v>
      </c>
      <c r="O25" s="25">
        <f t="shared" si="1"/>
        <v>362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8.15" customHeight="1" x14ac:dyDescent="0.5">
      <c r="A26" s="13" t="s">
        <v>37</v>
      </c>
      <c r="B26" s="14">
        <v>589.74</v>
      </c>
      <c r="C26" s="45">
        <v>10</v>
      </c>
      <c r="D26" s="45">
        <v>12</v>
      </c>
      <c r="E26" s="45">
        <v>14</v>
      </c>
      <c r="F26" s="45">
        <v>16</v>
      </c>
      <c r="G26" s="45">
        <v>18</v>
      </c>
      <c r="H26" s="45">
        <v>20</v>
      </c>
      <c r="I26" s="45">
        <v>22</v>
      </c>
      <c r="J26" s="44">
        <f t="shared" si="0"/>
        <v>22</v>
      </c>
      <c r="K26" s="45">
        <v>24</v>
      </c>
      <c r="L26" s="45">
        <v>26</v>
      </c>
      <c r="M26" s="45">
        <v>28</v>
      </c>
      <c r="N26" s="45">
        <v>30</v>
      </c>
      <c r="O26" s="25">
        <f t="shared" si="1"/>
        <v>242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8.15" customHeight="1" x14ac:dyDescent="0.5">
      <c r="A27" s="16" t="s">
        <v>38</v>
      </c>
      <c r="B27" s="15">
        <v>198</v>
      </c>
      <c r="C27" s="45">
        <v>100</v>
      </c>
      <c r="D27" s="45">
        <v>102</v>
      </c>
      <c r="E27" s="45">
        <v>104</v>
      </c>
      <c r="F27" s="45">
        <v>106</v>
      </c>
      <c r="G27" s="45">
        <v>108</v>
      </c>
      <c r="H27" s="45">
        <v>110</v>
      </c>
      <c r="I27" s="45">
        <v>112</v>
      </c>
      <c r="J27" s="44">
        <f t="shared" si="0"/>
        <v>112</v>
      </c>
      <c r="K27" s="45">
        <v>114</v>
      </c>
      <c r="L27" s="45">
        <v>116</v>
      </c>
      <c r="M27" s="45">
        <v>118</v>
      </c>
      <c r="N27" s="45">
        <v>120</v>
      </c>
      <c r="O27" s="25">
        <f t="shared" si="1"/>
        <v>1322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8.15" customHeight="1" x14ac:dyDescent="0.5">
      <c r="A28" s="17" t="s">
        <v>39</v>
      </c>
      <c r="B28" s="1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8.15" customHeight="1" x14ac:dyDescent="0.5">
      <c r="A29" s="17" t="s">
        <v>40</v>
      </c>
      <c r="B29" s="1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8.15" customHeight="1" x14ac:dyDescent="0.5">
      <c r="A30" s="30" t="s">
        <v>41</v>
      </c>
      <c r="B30" s="1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9"/>
      <c r="O30" s="2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8.15" customHeight="1" x14ac:dyDescent="0.5">
      <c r="A31" s="30" t="s">
        <v>42</v>
      </c>
      <c r="B31" s="1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9"/>
      <c r="O31" s="2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8.15" customHeight="1" thickBot="1" x14ac:dyDescent="0.45">
      <c r="A32" s="30" t="s">
        <v>43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3"/>
      <c r="O32" s="34"/>
    </row>
    <row r="33" spans="1:15" ht="26.25" customHeight="1" thickTop="1" thickBot="1" x14ac:dyDescent="0.45">
      <c r="A33" s="19" t="s">
        <v>44</v>
      </c>
      <c r="B33" s="37"/>
      <c r="C33" s="47">
        <f t="shared" ref="C33:O33" si="2">SUMPRODUCT($B$5:$B$32,C5:C32)</f>
        <v>364606.5</v>
      </c>
      <c r="D33" s="47">
        <f t="shared" si="2"/>
        <v>388255.28</v>
      </c>
      <c r="E33" s="47">
        <f t="shared" si="2"/>
        <v>411904.05999999994</v>
      </c>
      <c r="F33" s="47">
        <f t="shared" si="2"/>
        <v>435552.84</v>
      </c>
      <c r="G33" s="47">
        <f t="shared" si="2"/>
        <v>459201.62000000005</v>
      </c>
      <c r="H33" s="47">
        <f t="shared" si="2"/>
        <v>482850.4</v>
      </c>
      <c r="I33" s="47">
        <f t="shared" si="2"/>
        <v>506499.18000000005</v>
      </c>
      <c r="J33" s="47">
        <f t="shared" si="2"/>
        <v>506499.18000000005</v>
      </c>
      <c r="K33" s="47">
        <f t="shared" si="2"/>
        <v>530147.96</v>
      </c>
      <c r="L33" s="47">
        <f t="shared" si="2"/>
        <v>553796.74</v>
      </c>
      <c r="M33" s="47">
        <f t="shared" si="2"/>
        <v>577445.5199999999</v>
      </c>
      <c r="N33" s="48">
        <f t="shared" si="2"/>
        <v>601094.29999999993</v>
      </c>
      <c r="O33" s="49">
        <f t="shared" si="2"/>
        <v>5817853.580000001</v>
      </c>
    </row>
    <row r="34" spans="1:15" ht="31.5" customHeight="1" thickTop="1" thickBot="1" x14ac:dyDescent="0.45">
      <c r="A34" s="19" t="s">
        <v>45</v>
      </c>
      <c r="B34" s="37"/>
      <c r="C34" s="47">
        <f t="shared" ref="C34:O34" si="3">C33/0.9</f>
        <v>405118.33333333331</v>
      </c>
      <c r="D34" s="47">
        <f t="shared" si="3"/>
        <v>431394.75555555557</v>
      </c>
      <c r="E34" s="47">
        <f t="shared" si="3"/>
        <v>457671.17777777772</v>
      </c>
      <c r="F34" s="47">
        <f t="shared" si="3"/>
        <v>483947.60000000003</v>
      </c>
      <c r="G34" s="47">
        <f t="shared" si="3"/>
        <v>510224.02222222229</v>
      </c>
      <c r="H34" s="47">
        <f t="shared" si="3"/>
        <v>536500.4444444445</v>
      </c>
      <c r="I34" s="47">
        <f t="shared" si="3"/>
        <v>562776.8666666667</v>
      </c>
      <c r="J34" s="47">
        <f t="shared" si="3"/>
        <v>562776.8666666667</v>
      </c>
      <c r="K34" s="47">
        <f t="shared" si="3"/>
        <v>589053.28888888878</v>
      </c>
      <c r="L34" s="47">
        <f t="shared" si="3"/>
        <v>615329.7111111111</v>
      </c>
      <c r="M34" s="47">
        <f t="shared" si="3"/>
        <v>641606.13333333319</v>
      </c>
      <c r="N34" s="48">
        <f t="shared" si="3"/>
        <v>667882.5555555555</v>
      </c>
      <c r="O34" s="49">
        <f t="shared" si="3"/>
        <v>6464281.7555555562</v>
      </c>
    </row>
    <row r="35" spans="1:15" ht="15.75" thickTop="1" x14ac:dyDescent="0.25"/>
    <row r="38" spans="1:15" ht="16.350000000000001" customHeight="1" x14ac:dyDescent="0.25"/>
  </sheetData>
  <mergeCells count="2">
    <mergeCell ref="A1:O1"/>
    <mergeCell ref="G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1892-E417-4B48-9FD3-8C090571FC21}">
  <dimension ref="A1:Z38"/>
  <sheetViews>
    <sheetView zoomScale="60" zoomScaleNormal="60" workbookViewId="0">
      <selection activeCell="G3" sqref="G3"/>
    </sheetView>
  </sheetViews>
  <sheetFormatPr defaultRowHeight="15" x14ac:dyDescent="0.25"/>
  <cols>
    <col min="1" max="1" width="34.7109375" customWidth="1"/>
    <col min="2" max="2" width="12.28515625" bestFit="1" customWidth="1"/>
    <col min="3" max="14" width="17.7109375" customWidth="1"/>
    <col min="15" max="15" width="23" customWidth="1"/>
  </cols>
  <sheetData>
    <row r="1" spans="1:26" ht="37.5" customHeight="1" thickTop="1" thickBo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spans="1:26" ht="36.75" customHeight="1" thickTop="1" thickBot="1" x14ac:dyDescent="0.3">
      <c r="A2" s="43" t="s">
        <v>50</v>
      </c>
      <c r="B2" s="43"/>
      <c r="C2" s="50"/>
      <c r="D2" s="50"/>
      <c r="E2" s="50"/>
      <c r="F2" s="50"/>
      <c r="G2" s="54" t="s">
        <v>56</v>
      </c>
      <c r="H2" s="54"/>
      <c r="I2" s="54"/>
      <c r="J2" s="54"/>
      <c r="K2" s="54"/>
      <c r="L2" s="54"/>
      <c r="M2" s="54"/>
      <c r="N2" s="54"/>
      <c r="O2" s="54"/>
    </row>
    <row r="3" spans="1:26" s="2" customFormat="1" ht="34.5" customHeight="1" thickTop="1" thickBot="1" x14ac:dyDescent="0.3">
      <c r="A3" s="20" t="s">
        <v>1</v>
      </c>
      <c r="B3" s="2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36" t="s">
        <v>15</v>
      </c>
    </row>
    <row r="4" spans="1:26" s="2" customFormat="1" ht="18" hidden="1" customHeight="1" x14ac:dyDescent="0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2"/>
      <c r="O4" s="23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15" customHeight="1" thickTop="1" x14ac:dyDescent="0.5">
      <c r="A5" s="8" t="s">
        <v>16</v>
      </c>
      <c r="B5" s="9">
        <v>742.05</v>
      </c>
      <c r="C5" s="24">
        <v>6</v>
      </c>
      <c r="D5" s="44">
        <v>7</v>
      </c>
      <c r="E5" s="24">
        <v>8</v>
      </c>
      <c r="F5" s="44">
        <v>9</v>
      </c>
      <c r="G5" s="24">
        <v>10</v>
      </c>
      <c r="H5" s="44">
        <v>11</v>
      </c>
      <c r="I5" s="24">
        <v>12</v>
      </c>
      <c r="J5" s="44">
        <f>I5</f>
        <v>12</v>
      </c>
      <c r="K5" s="44">
        <v>13</v>
      </c>
      <c r="L5" s="24">
        <v>14</v>
      </c>
      <c r="M5" s="44">
        <v>15</v>
      </c>
      <c r="N5" s="24">
        <v>16</v>
      </c>
      <c r="O5" s="25">
        <f>SUM(C5:N5)</f>
        <v>133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15" customHeight="1" x14ac:dyDescent="0.5">
      <c r="A6" s="10" t="s">
        <v>17</v>
      </c>
      <c r="B6" s="11">
        <v>2065.5</v>
      </c>
      <c r="C6" s="24">
        <v>30</v>
      </c>
      <c r="D6" s="24">
        <v>32</v>
      </c>
      <c r="E6" s="24">
        <v>34</v>
      </c>
      <c r="F6" s="24">
        <v>36</v>
      </c>
      <c r="G6" s="24">
        <v>38</v>
      </c>
      <c r="H6" s="24">
        <v>40</v>
      </c>
      <c r="I6" s="24">
        <v>42</v>
      </c>
      <c r="J6" s="44">
        <f t="shared" ref="J6:J27" si="0">I6</f>
        <v>42</v>
      </c>
      <c r="K6" s="24">
        <v>44</v>
      </c>
      <c r="L6" s="24">
        <v>46</v>
      </c>
      <c r="M6" s="24">
        <v>48</v>
      </c>
      <c r="N6" s="24">
        <v>50</v>
      </c>
      <c r="O6" s="25">
        <f t="shared" ref="O6:O27" si="1">SUM(C6:N6)</f>
        <v>482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15" customHeight="1" x14ac:dyDescent="0.5">
      <c r="A7" s="10" t="s">
        <v>18</v>
      </c>
      <c r="B7" s="26">
        <v>600.37</v>
      </c>
      <c r="C7" s="44">
        <v>10</v>
      </c>
      <c r="D7" s="44">
        <v>12</v>
      </c>
      <c r="E7" s="44">
        <v>14</v>
      </c>
      <c r="F7" s="44">
        <v>16</v>
      </c>
      <c r="G7" s="44">
        <v>18</v>
      </c>
      <c r="H7" s="44">
        <v>20</v>
      </c>
      <c r="I7" s="44">
        <v>22</v>
      </c>
      <c r="J7" s="44">
        <f t="shared" si="0"/>
        <v>22</v>
      </c>
      <c r="K7" s="44">
        <v>24</v>
      </c>
      <c r="L7" s="44">
        <v>26</v>
      </c>
      <c r="M7" s="44">
        <v>28</v>
      </c>
      <c r="N7" s="44">
        <v>30</v>
      </c>
      <c r="O7" s="25">
        <f t="shared" si="1"/>
        <v>242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15" customHeight="1" x14ac:dyDescent="0.5">
      <c r="A8" s="10" t="s">
        <v>19</v>
      </c>
      <c r="B8" s="26">
        <v>774.03</v>
      </c>
      <c r="C8" s="24">
        <v>10</v>
      </c>
      <c r="D8" s="44">
        <v>12</v>
      </c>
      <c r="E8" s="24">
        <v>14</v>
      </c>
      <c r="F8" s="44">
        <v>16</v>
      </c>
      <c r="G8" s="24">
        <v>18</v>
      </c>
      <c r="H8" s="44">
        <v>20</v>
      </c>
      <c r="I8" s="24">
        <v>22</v>
      </c>
      <c r="J8" s="44">
        <f t="shared" si="0"/>
        <v>22</v>
      </c>
      <c r="K8" s="44">
        <v>24</v>
      </c>
      <c r="L8" s="24">
        <v>26</v>
      </c>
      <c r="M8" s="44">
        <v>28</v>
      </c>
      <c r="N8" s="24">
        <v>30</v>
      </c>
      <c r="O8" s="25">
        <f t="shared" si="1"/>
        <v>242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15" customHeight="1" x14ac:dyDescent="0.5">
      <c r="A9" s="10" t="s">
        <v>20</v>
      </c>
      <c r="B9" s="11">
        <v>459</v>
      </c>
      <c r="C9" s="24">
        <v>10</v>
      </c>
      <c r="D9" s="44">
        <v>12</v>
      </c>
      <c r="E9" s="24">
        <v>14</v>
      </c>
      <c r="F9" s="44">
        <v>16</v>
      </c>
      <c r="G9" s="24">
        <v>18</v>
      </c>
      <c r="H9" s="44">
        <v>20</v>
      </c>
      <c r="I9" s="24">
        <v>22</v>
      </c>
      <c r="J9" s="44">
        <f t="shared" si="0"/>
        <v>22</v>
      </c>
      <c r="K9" s="44">
        <v>24</v>
      </c>
      <c r="L9" s="24">
        <v>26</v>
      </c>
      <c r="M9" s="44">
        <v>28</v>
      </c>
      <c r="N9" s="24">
        <v>30</v>
      </c>
      <c r="O9" s="25">
        <f t="shared" si="1"/>
        <v>242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15" customHeight="1" x14ac:dyDescent="0.5">
      <c r="A10" s="10" t="s">
        <v>21</v>
      </c>
      <c r="B10" s="11">
        <v>765</v>
      </c>
      <c r="C10" s="24">
        <v>10</v>
      </c>
      <c r="D10" s="44">
        <v>12</v>
      </c>
      <c r="E10" s="24">
        <v>14</v>
      </c>
      <c r="F10" s="44">
        <v>16</v>
      </c>
      <c r="G10" s="24">
        <v>18</v>
      </c>
      <c r="H10" s="44">
        <v>20</v>
      </c>
      <c r="I10" s="24">
        <v>22</v>
      </c>
      <c r="J10" s="44">
        <f t="shared" si="0"/>
        <v>22</v>
      </c>
      <c r="K10" s="44">
        <v>24</v>
      </c>
      <c r="L10" s="24">
        <v>26</v>
      </c>
      <c r="M10" s="44">
        <v>28</v>
      </c>
      <c r="N10" s="24">
        <v>30</v>
      </c>
      <c r="O10" s="25">
        <f t="shared" si="1"/>
        <v>242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15" customHeight="1" x14ac:dyDescent="0.5">
      <c r="A11" s="10" t="s">
        <v>22</v>
      </c>
      <c r="B11" s="11">
        <v>780.99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44">
        <f t="shared" si="0"/>
        <v>0</v>
      </c>
      <c r="K11" s="24">
        <v>0</v>
      </c>
      <c r="L11" s="24">
        <v>0</v>
      </c>
      <c r="M11" s="24">
        <v>0</v>
      </c>
      <c r="N11" s="24">
        <v>0</v>
      </c>
      <c r="O11" s="25">
        <f t="shared" si="1"/>
        <v>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15" customHeight="1" x14ac:dyDescent="0.5">
      <c r="A12" s="10" t="s">
        <v>23</v>
      </c>
      <c r="B12" s="11">
        <v>344.25</v>
      </c>
      <c r="C12" s="24">
        <v>20</v>
      </c>
      <c r="D12" s="44">
        <v>22</v>
      </c>
      <c r="E12" s="24">
        <v>24</v>
      </c>
      <c r="F12" s="44">
        <v>26</v>
      </c>
      <c r="G12" s="24">
        <v>28</v>
      </c>
      <c r="H12" s="44">
        <v>30</v>
      </c>
      <c r="I12" s="24">
        <v>32</v>
      </c>
      <c r="J12" s="44">
        <f t="shared" si="0"/>
        <v>32</v>
      </c>
      <c r="K12" s="44">
        <v>34</v>
      </c>
      <c r="L12" s="24">
        <v>36</v>
      </c>
      <c r="M12" s="44">
        <v>38</v>
      </c>
      <c r="N12" s="24">
        <v>40</v>
      </c>
      <c r="O12" s="25">
        <f t="shared" si="1"/>
        <v>362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15" customHeight="1" x14ac:dyDescent="0.5">
      <c r="A13" s="10" t="s">
        <v>24</v>
      </c>
      <c r="B13" s="11">
        <v>428.4</v>
      </c>
      <c r="C13" s="24">
        <v>330</v>
      </c>
      <c r="D13" s="24">
        <v>335</v>
      </c>
      <c r="E13" s="24">
        <v>340</v>
      </c>
      <c r="F13" s="24">
        <v>345</v>
      </c>
      <c r="G13" s="24">
        <v>350</v>
      </c>
      <c r="H13" s="24">
        <v>355</v>
      </c>
      <c r="I13" s="24">
        <v>360</v>
      </c>
      <c r="J13" s="44">
        <f t="shared" si="0"/>
        <v>360</v>
      </c>
      <c r="K13" s="24">
        <v>365</v>
      </c>
      <c r="L13" s="24">
        <v>370</v>
      </c>
      <c r="M13" s="24">
        <v>375</v>
      </c>
      <c r="N13" s="24">
        <v>380</v>
      </c>
      <c r="O13" s="25">
        <f t="shared" si="1"/>
        <v>4265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15" customHeight="1" x14ac:dyDescent="0.5">
      <c r="A14" s="10" t="s">
        <v>25</v>
      </c>
      <c r="B14" s="11">
        <v>459</v>
      </c>
      <c r="C14" s="24">
        <v>5</v>
      </c>
      <c r="D14" s="44">
        <v>6</v>
      </c>
      <c r="E14" s="24">
        <v>7</v>
      </c>
      <c r="F14" s="44">
        <v>8</v>
      </c>
      <c r="G14" s="24">
        <v>9</v>
      </c>
      <c r="H14" s="44">
        <v>10</v>
      </c>
      <c r="I14" s="24">
        <v>11</v>
      </c>
      <c r="J14" s="44">
        <f t="shared" si="0"/>
        <v>11</v>
      </c>
      <c r="K14" s="44">
        <v>12</v>
      </c>
      <c r="L14" s="24">
        <v>13</v>
      </c>
      <c r="M14" s="44">
        <v>14</v>
      </c>
      <c r="N14" s="24">
        <v>15</v>
      </c>
      <c r="O14" s="25">
        <f t="shared" si="1"/>
        <v>121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15" customHeight="1" x14ac:dyDescent="0.5">
      <c r="A15" s="10" t="s">
        <v>26</v>
      </c>
      <c r="B15" s="11">
        <v>550.79999999999995</v>
      </c>
      <c r="C15" s="24">
        <v>5</v>
      </c>
      <c r="D15" s="44">
        <v>6</v>
      </c>
      <c r="E15" s="24">
        <v>7</v>
      </c>
      <c r="F15" s="44">
        <v>8</v>
      </c>
      <c r="G15" s="24">
        <v>9</v>
      </c>
      <c r="H15" s="44">
        <v>10</v>
      </c>
      <c r="I15" s="24">
        <v>11</v>
      </c>
      <c r="J15" s="44">
        <f t="shared" si="0"/>
        <v>11</v>
      </c>
      <c r="K15" s="44">
        <v>12</v>
      </c>
      <c r="L15" s="24">
        <v>13</v>
      </c>
      <c r="M15" s="44">
        <v>14</v>
      </c>
      <c r="N15" s="24">
        <v>15</v>
      </c>
      <c r="O15" s="25">
        <f t="shared" si="1"/>
        <v>121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8.15" customHeight="1" x14ac:dyDescent="0.5">
      <c r="A16" s="13" t="s">
        <v>27</v>
      </c>
      <c r="B16" s="14">
        <v>122.4</v>
      </c>
      <c r="C16" s="45">
        <v>75</v>
      </c>
      <c r="D16" s="45">
        <v>78</v>
      </c>
      <c r="E16" s="45">
        <v>81</v>
      </c>
      <c r="F16" s="45">
        <v>84</v>
      </c>
      <c r="G16" s="45">
        <v>87</v>
      </c>
      <c r="H16" s="45">
        <v>90</v>
      </c>
      <c r="I16" s="45">
        <v>93</v>
      </c>
      <c r="J16" s="44">
        <f t="shared" si="0"/>
        <v>93</v>
      </c>
      <c r="K16" s="45">
        <v>96</v>
      </c>
      <c r="L16" s="45">
        <v>99</v>
      </c>
      <c r="M16" s="45">
        <v>102</v>
      </c>
      <c r="N16" s="45">
        <v>105</v>
      </c>
      <c r="O16" s="25">
        <f t="shared" si="1"/>
        <v>1083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8.15" customHeight="1" x14ac:dyDescent="0.5">
      <c r="A17" s="13" t="s">
        <v>28</v>
      </c>
      <c r="B17" s="14">
        <v>481.95</v>
      </c>
      <c r="C17" s="46">
        <v>20</v>
      </c>
      <c r="D17" s="46">
        <v>22</v>
      </c>
      <c r="E17" s="46">
        <v>24</v>
      </c>
      <c r="F17" s="46">
        <v>26</v>
      </c>
      <c r="G17" s="46">
        <v>28</v>
      </c>
      <c r="H17" s="46">
        <v>30</v>
      </c>
      <c r="I17" s="46">
        <v>32</v>
      </c>
      <c r="J17" s="44">
        <f t="shared" si="0"/>
        <v>32</v>
      </c>
      <c r="K17" s="46">
        <v>34</v>
      </c>
      <c r="L17" s="46">
        <v>36</v>
      </c>
      <c r="M17" s="46">
        <v>38</v>
      </c>
      <c r="N17" s="46">
        <v>40</v>
      </c>
      <c r="O17" s="25">
        <f t="shared" si="1"/>
        <v>362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15" customHeight="1" x14ac:dyDescent="0.5">
      <c r="A18" s="13" t="s">
        <v>29</v>
      </c>
      <c r="B18" s="14">
        <v>283.05</v>
      </c>
      <c r="C18" s="45">
        <v>65</v>
      </c>
      <c r="D18" s="45">
        <v>68</v>
      </c>
      <c r="E18" s="45">
        <v>71</v>
      </c>
      <c r="F18" s="45">
        <v>74</v>
      </c>
      <c r="G18" s="45">
        <v>77</v>
      </c>
      <c r="H18" s="45">
        <v>80</v>
      </c>
      <c r="I18" s="45">
        <v>83</v>
      </c>
      <c r="J18" s="44">
        <f t="shared" si="0"/>
        <v>83</v>
      </c>
      <c r="K18" s="45">
        <v>86</v>
      </c>
      <c r="L18" s="45">
        <v>89</v>
      </c>
      <c r="M18" s="45">
        <v>92</v>
      </c>
      <c r="N18" s="45">
        <v>95</v>
      </c>
      <c r="O18" s="25">
        <f t="shared" si="1"/>
        <v>963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15" customHeight="1" x14ac:dyDescent="0.5">
      <c r="A19" s="13" t="s">
        <v>30</v>
      </c>
      <c r="B19" s="14">
        <v>344.25</v>
      </c>
      <c r="C19" s="45">
        <v>5</v>
      </c>
      <c r="D19" s="45">
        <v>6</v>
      </c>
      <c r="E19" s="45">
        <v>7</v>
      </c>
      <c r="F19" s="45">
        <v>8</v>
      </c>
      <c r="G19" s="45">
        <v>9</v>
      </c>
      <c r="H19" s="45">
        <v>10</v>
      </c>
      <c r="I19" s="45">
        <v>11</v>
      </c>
      <c r="J19" s="44">
        <f t="shared" si="0"/>
        <v>11</v>
      </c>
      <c r="K19" s="45">
        <v>12</v>
      </c>
      <c r="L19" s="45">
        <v>13</v>
      </c>
      <c r="M19" s="45">
        <v>14</v>
      </c>
      <c r="N19" s="45">
        <v>15</v>
      </c>
      <c r="O19" s="25">
        <f t="shared" si="1"/>
        <v>121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15" customHeight="1" x14ac:dyDescent="0.5">
      <c r="A20" s="13" t="s">
        <v>31</v>
      </c>
      <c r="B20" s="15">
        <v>342.39</v>
      </c>
      <c r="C20" s="45">
        <v>5</v>
      </c>
      <c r="D20" s="45">
        <v>6</v>
      </c>
      <c r="E20" s="45">
        <v>7</v>
      </c>
      <c r="F20" s="45">
        <v>8</v>
      </c>
      <c r="G20" s="45">
        <v>9</v>
      </c>
      <c r="H20" s="45">
        <v>10</v>
      </c>
      <c r="I20" s="45">
        <v>11</v>
      </c>
      <c r="J20" s="44">
        <f t="shared" si="0"/>
        <v>11</v>
      </c>
      <c r="K20" s="45">
        <v>12</v>
      </c>
      <c r="L20" s="45">
        <v>13</v>
      </c>
      <c r="M20" s="45">
        <v>14</v>
      </c>
      <c r="N20" s="45">
        <v>15</v>
      </c>
      <c r="O20" s="25">
        <f t="shared" si="1"/>
        <v>121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.15" customHeight="1" x14ac:dyDescent="0.5">
      <c r="A21" s="13" t="s">
        <v>32</v>
      </c>
      <c r="B21" s="15">
        <v>213.99</v>
      </c>
      <c r="C21" s="45"/>
      <c r="D21" s="45"/>
      <c r="E21" s="45"/>
      <c r="F21" s="45"/>
      <c r="G21" s="45"/>
      <c r="H21" s="45"/>
      <c r="I21" s="45"/>
      <c r="J21" s="44">
        <f t="shared" si="0"/>
        <v>0</v>
      </c>
      <c r="K21" s="45"/>
      <c r="L21" s="45"/>
      <c r="M21" s="45"/>
      <c r="N21" s="45"/>
      <c r="O21" s="25">
        <f t="shared" si="1"/>
        <v>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8.15" customHeight="1" x14ac:dyDescent="0.5">
      <c r="A22" s="16" t="s">
        <v>33</v>
      </c>
      <c r="B22" s="15">
        <v>1512.71</v>
      </c>
      <c r="C22" s="45">
        <v>5</v>
      </c>
      <c r="D22" s="45">
        <v>6</v>
      </c>
      <c r="E22" s="45">
        <v>7</v>
      </c>
      <c r="F22" s="45">
        <v>8</v>
      </c>
      <c r="G22" s="45">
        <v>9</v>
      </c>
      <c r="H22" s="45">
        <v>10</v>
      </c>
      <c r="I22" s="45">
        <v>11</v>
      </c>
      <c r="J22" s="44">
        <f t="shared" si="0"/>
        <v>11</v>
      </c>
      <c r="K22" s="45">
        <v>12</v>
      </c>
      <c r="L22" s="45">
        <v>13</v>
      </c>
      <c r="M22" s="45">
        <v>14</v>
      </c>
      <c r="N22" s="45">
        <v>15</v>
      </c>
      <c r="O22" s="25">
        <f t="shared" si="1"/>
        <v>121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8.15" customHeight="1" x14ac:dyDescent="0.5">
      <c r="A23" s="13" t="s">
        <v>34</v>
      </c>
      <c r="B23" s="14">
        <v>573.75</v>
      </c>
      <c r="C23" s="45">
        <v>5</v>
      </c>
      <c r="D23" s="46">
        <v>6</v>
      </c>
      <c r="E23" s="45">
        <v>7</v>
      </c>
      <c r="F23" s="46">
        <v>8</v>
      </c>
      <c r="G23" s="45">
        <v>9</v>
      </c>
      <c r="H23" s="46">
        <v>10</v>
      </c>
      <c r="I23" s="45">
        <v>11</v>
      </c>
      <c r="J23" s="44">
        <f t="shared" si="0"/>
        <v>11</v>
      </c>
      <c r="K23" s="46">
        <v>12</v>
      </c>
      <c r="L23" s="45">
        <v>13</v>
      </c>
      <c r="M23" s="46">
        <v>14</v>
      </c>
      <c r="N23" s="45">
        <v>15</v>
      </c>
      <c r="O23" s="25">
        <f t="shared" si="1"/>
        <v>121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8.15" customHeight="1" x14ac:dyDescent="0.5">
      <c r="A24" s="13" t="s">
        <v>35</v>
      </c>
      <c r="B24" s="14">
        <v>979.29</v>
      </c>
      <c r="C24" s="45">
        <v>5</v>
      </c>
      <c r="D24" s="45">
        <v>6</v>
      </c>
      <c r="E24" s="45">
        <v>7</v>
      </c>
      <c r="F24" s="45">
        <v>8</v>
      </c>
      <c r="G24" s="45">
        <v>9</v>
      </c>
      <c r="H24" s="45">
        <v>10</v>
      </c>
      <c r="I24" s="45">
        <v>11</v>
      </c>
      <c r="J24" s="44">
        <f t="shared" si="0"/>
        <v>11</v>
      </c>
      <c r="K24" s="45">
        <v>12</v>
      </c>
      <c r="L24" s="45">
        <v>13</v>
      </c>
      <c r="M24" s="45">
        <v>14</v>
      </c>
      <c r="N24" s="45">
        <v>15</v>
      </c>
      <c r="O24" s="25">
        <f t="shared" si="1"/>
        <v>121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15" customHeight="1" x14ac:dyDescent="0.5">
      <c r="A25" s="13" t="s">
        <v>36</v>
      </c>
      <c r="B25" s="14">
        <v>491.78</v>
      </c>
      <c r="C25" s="45">
        <v>20</v>
      </c>
      <c r="D25" s="45">
        <v>22</v>
      </c>
      <c r="E25" s="45">
        <v>24</v>
      </c>
      <c r="F25" s="45">
        <v>26</v>
      </c>
      <c r="G25" s="45">
        <v>28</v>
      </c>
      <c r="H25" s="45">
        <v>30</v>
      </c>
      <c r="I25" s="45">
        <v>32</v>
      </c>
      <c r="J25" s="44">
        <f t="shared" si="0"/>
        <v>32</v>
      </c>
      <c r="K25" s="45">
        <v>34</v>
      </c>
      <c r="L25" s="45">
        <v>36</v>
      </c>
      <c r="M25" s="45">
        <v>38</v>
      </c>
      <c r="N25" s="45">
        <v>40</v>
      </c>
      <c r="O25" s="25">
        <f t="shared" si="1"/>
        <v>362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8.15" customHeight="1" x14ac:dyDescent="0.5">
      <c r="A26" s="13" t="s">
        <v>37</v>
      </c>
      <c r="B26" s="14">
        <v>589.74</v>
      </c>
      <c r="C26" s="45">
        <v>10</v>
      </c>
      <c r="D26" s="45">
        <v>12</v>
      </c>
      <c r="E26" s="45">
        <v>14</v>
      </c>
      <c r="F26" s="45">
        <v>16</v>
      </c>
      <c r="G26" s="45">
        <v>18</v>
      </c>
      <c r="H26" s="45">
        <v>20</v>
      </c>
      <c r="I26" s="45">
        <v>22</v>
      </c>
      <c r="J26" s="44">
        <f t="shared" si="0"/>
        <v>22</v>
      </c>
      <c r="K26" s="45">
        <v>24</v>
      </c>
      <c r="L26" s="45">
        <v>26</v>
      </c>
      <c r="M26" s="45">
        <v>28</v>
      </c>
      <c r="N26" s="45">
        <v>30</v>
      </c>
      <c r="O26" s="25">
        <f t="shared" si="1"/>
        <v>242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8.15" customHeight="1" x14ac:dyDescent="0.5">
      <c r="A27" s="16" t="s">
        <v>38</v>
      </c>
      <c r="B27" s="15">
        <v>198</v>
      </c>
      <c r="C27" s="45">
        <v>100</v>
      </c>
      <c r="D27" s="45">
        <v>102</v>
      </c>
      <c r="E27" s="45">
        <v>104</v>
      </c>
      <c r="F27" s="45">
        <v>106</v>
      </c>
      <c r="G27" s="45">
        <v>108</v>
      </c>
      <c r="H27" s="45">
        <v>110</v>
      </c>
      <c r="I27" s="45">
        <v>112</v>
      </c>
      <c r="J27" s="44">
        <f t="shared" si="0"/>
        <v>112</v>
      </c>
      <c r="K27" s="45">
        <v>114</v>
      </c>
      <c r="L27" s="45">
        <v>116</v>
      </c>
      <c r="M27" s="45">
        <v>118</v>
      </c>
      <c r="N27" s="45">
        <v>120</v>
      </c>
      <c r="O27" s="25">
        <f t="shared" si="1"/>
        <v>1322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8.15" customHeight="1" x14ac:dyDescent="0.5">
      <c r="A28" s="17" t="s">
        <v>39</v>
      </c>
      <c r="B28" s="1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8.15" customHeight="1" x14ac:dyDescent="0.5">
      <c r="A29" s="17" t="s">
        <v>40</v>
      </c>
      <c r="B29" s="1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9"/>
      <c r="O29" s="2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8.15" customHeight="1" x14ac:dyDescent="0.5">
      <c r="A30" s="30" t="s">
        <v>41</v>
      </c>
      <c r="B30" s="1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9"/>
      <c r="O30" s="2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8.15" customHeight="1" x14ac:dyDescent="0.5">
      <c r="A31" s="30" t="s">
        <v>42</v>
      </c>
      <c r="B31" s="1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9"/>
      <c r="O31" s="2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8.15" customHeight="1" thickBot="1" x14ac:dyDescent="0.45">
      <c r="A32" s="30" t="s">
        <v>43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3"/>
      <c r="O32" s="34"/>
    </row>
    <row r="33" spans="1:15" ht="26.25" customHeight="1" thickTop="1" thickBot="1" x14ac:dyDescent="0.45">
      <c r="A33" s="19" t="s">
        <v>44</v>
      </c>
      <c r="B33" s="37"/>
      <c r="C33" s="47">
        <f t="shared" ref="C33:O33" si="2">SUMPRODUCT($B$5:$B$32,C5:C32)</f>
        <v>337219.5</v>
      </c>
      <c r="D33" s="47">
        <f t="shared" si="2"/>
        <v>359621.33000000007</v>
      </c>
      <c r="E33" s="47">
        <f t="shared" si="2"/>
        <v>382023.15999999992</v>
      </c>
      <c r="F33" s="47">
        <f t="shared" si="2"/>
        <v>404424.99000000005</v>
      </c>
      <c r="G33" s="47">
        <f t="shared" si="2"/>
        <v>426826.82</v>
      </c>
      <c r="H33" s="47">
        <f t="shared" si="2"/>
        <v>449228.65</v>
      </c>
      <c r="I33" s="47">
        <f t="shared" si="2"/>
        <v>471630.4800000001</v>
      </c>
      <c r="J33" s="47">
        <f t="shared" si="2"/>
        <v>471630.4800000001</v>
      </c>
      <c r="K33" s="47">
        <f t="shared" si="2"/>
        <v>494032.31</v>
      </c>
      <c r="L33" s="47">
        <f t="shared" si="2"/>
        <v>516434.14</v>
      </c>
      <c r="M33" s="47">
        <f t="shared" si="2"/>
        <v>538835.97</v>
      </c>
      <c r="N33" s="48">
        <f t="shared" si="2"/>
        <v>561237.79999999993</v>
      </c>
      <c r="O33" s="49">
        <f t="shared" si="2"/>
        <v>5413145.6300000008</v>
      </c>
    </row>
    <row r="34" spans="1:15" ht="31.5" customHeight="1" thickTop="1" thickBot="1" x14ac:dyDescent="0.45">
      <c r="A34" s="19" t="s">
        <v>45</v>
      </c>
      <c r="B34" s="37"/>
      <c r="C34" s="47">
        <f t="shared" ref="C34:O34" si="3">C33/0.9</f>
        <v>374688.33333333331</v>
      </c>
      <c r="D34" s="47">
        <f t="shared" si="3"/>
        <v>399579.25555555563</v>
      </c>
      <c r="E34" s="47">
        <f t="shared" si="3"/>
        <v>424470.17777777766</v>
      </c>
      <c r="F34" s="47">
        <f t="shared" si="3"/>
        <v>449361.10000000003</v>
      </c>
      <c r="G34" s="47">
        <f t="shared" si="3"/>
        <v>474252.02222222224</v>
      </c>
      <c r="H34" s="47">
        <f t="shared" si="3"/>
        <v>499142.94444444444</v>
      </c>
      <c r="I34" s="47">
        <f t="shared" si="3"/>
        <v>524033.86666666676</v>
      </c>
      <c r="J34" s="47">
        <f t="shared" si="3"/>
        <v>524033.86666666676</v>
      </c>
      <c r="K34" s="47">
        <f t="shared" si="3"/>
        <v>548924.7888888889</v>
      </c>
      <c r="L34" s="47">
        <f t="shared" si="3"/>
        <v>573815.7111111111</v>
      </c>
      <c r="M34" s="47">
        <f t="shared" si="3"/>
        <v>598706.6333333333</v>
      </c>
      <c r="N34" s="48">
        <f t="shared" si="3"/>
        <v>623597.5555555555</v>
      </c>
      <c r="O34" s="49">
        <f t="shared" si="3"/>
        <v>6014606.2555555562</v>
      </c>
    </row>
    <row r="35" spans="1:15" ht="15.75" thickTop="1" x14ac:dyDescent="0.25"/>
    <row r="38" spans="1:15" ht="16.350000000000001" customHeight="1" x14ac:dyDescent="0.25"/>
  </sheetData>
  <mergeCells count="2">
    <mergeCell ref="A1:O1"/>
    <mergeCell ref="G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C6AC-C49B-4500-9AC7-7A98EB00336C}">
  <dimension ref="A1:Z38"/>
  <sheetViews>
    <sheetView tabSelected="1" zoomScale="60" zoomScaleNormal="60" workbookViewId="0">
      <selection activeCell="G3" sqref="G3"/>
    </sheetView>
  </sheetViews>
  <sheetFormatPr defaultRowHeight="15" x14ac:dyDescent="0.25"/>
  <cols>
    <col min="1" max="1" width="34.7109375" customWidth="1"/>
    <col min="2" max="2" width="12.28515625" bestFit="1" customWidth="1"/>
    <col min="3" max="14" width="17.7109375" customWidth="1"/>
    <col min="15" max="15" width="23" customWidth="1"/>
  </cols>
  <sheetData>
    <row r="1" spans="1:26" ht="37.5" customHeight="1" thickTop="1" thickBo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spans="1:26" ht="36.75" customHeight="1" thickTop="1" thickBot="1" x14ac:dyDescent="0.3">
      <c r="A2" s="54" t="s">
        <v>55</v>
      </c>
      <c r="B2" s="54"/>
      <c r="C2" s="50"/>
      <c r="D2" s="50"/>
      <c r="E2" s="50"/>
      <c r="F2" s="50"/>
      <c r="G2" s="54" t="s">
        <v>57</v>
      </c>
      <c r="H2" s="54"/>
      <c r="I2" s="54"/>
      <c r="J2" s="54"/>
      <c r="K2" s="54"/>
      <c r="L2" s="54"/>
      <c r="M2" s="54"/>
      <c r="N2" s="54"/>
      <c r="O2" s="54"/>
    </row>
    <row r="3" spans="1:26" s="2" customFormat="1" ht="34.5" customHeight="1" thickTop="1" thickBot="1" x14ac:dyDescent="0.3">
      <c r="A3" s="20" t="s">
        <v>1</v>
      </c>
      <c r="B3" s="2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36" t="s">
        <v>15</v>
      </c>
    </row>
    <row r="4" spans="1:26" s="2" customFormat="1" ht="18" hidden="1" customHeight="1" x14ac:dyDescent="0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2"/>
      <c r="O4" s="23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15" customHeight="1" thickTop="1" x14ac:dyDescent="0.5">
      <c r="A5" s="8" t="s">
        <v>16</v>
      </c>
      <c r="B5" s="9">
        <v>742.05</v>
      </c>
      <c r="C5" s="24"/>
      <c r="D5" s="44"/>
      <c r="E5" s="24"/>
      <c r="F5" s="44"/>
      <c r="G5" s="24"/>
      <c r="H5" s="44"/>
      <c r="I5" s="24"/>
      <c r="J5" s="44">
        <f>I5</f>
        <v>0</v>
      </c>
      <c r="K5" s="24"/>
      <c r="L5" s="44"/>
      <c r="M5" s="24"/>
      <c r="N5" s="44"/>
      <c r="O5" s="25">
        <f>SUM(C5:N5)</f>
        <v>0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15" customHeight="1" x14ac:dyDescent="0.5">
      <c r="A6" s="10" t="s">
        <v>17</v>
      </c>
      <c r="B6" s="11">
        <v>2065.5</v>
      </c>
      <c r="C6" s="24"/>
      <c r="D6" s="24"/>
      <c r="E6" s="24"/>
      <c r="F6" s="24"/>
      <c r="G6" s="24"/>
      <c r="H6" s="24"/>
      <c r="I6" s="24"/>
      <c r="J6" s="44">
        <f t="shared" ref="J6:J27" si="0">I6</f>
        <v>0</v>
      </c>
      <c r="K6" s="24"/>
      <c r="L6" s="24"/>
      <c r="M6" s="24"/>
      <c r="N6" s="24"/>
      <c r="O6" s="25">
        <f t="shared" ref="O6:O27" si="1">SUM(C6:N6)</f>
        <v>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8.15" customHeight="1" x14ac:dyDescent="0.5">
      <c r="A7" s="10" t="s">
        <v>18</v>
      </c>
      <c r="B7" s="26">
        <v>600.37</v>
      </c>
      <c r="C7" s="44">
        <v>28</v>
      </c>
      <c r="D7" s="44"/>
      <c r="E7" s="44">
        <v>28</v>
      </c>
      <c r="F7" s="44"/>
      <c r="G7" s="44">
        <v>28</v>
      </c>
      <c r="H7" s="44"/>
      <c r="I7" s="44">
        <v>28</v>
      </c>
      <c r="J7" s="44">
        <f t="shared" si="0"/>
        <v>28</v>
      </c>
      <c r="K7" s="44">
        <v>28</v>
      </c>
      <c r="L7" s="44"/>
      <c r="M7" s="44">
        <v>28</v>
      </c>
      <c r="N7" s="44"/>
      <c r="O7" s="25">
        <f t="shared" si="1"/>
        <v>196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15" customHeight="1" x14ac:dyDescent="0.5">
      <c r="A8" s="10" t="s">
        <v>19</v>
      </c>
      <c r="B8" s="26">
        <v>774.03</v>
      </c>
      <c r="C8" s="24">
        <v>28</v>
      </c>
      <c r="D8" s="44"/>
      <c r="E8" s="24">
        <v>28</v>
      </c>
      <c r="F8" s="44"/>
      <c r="G8" s="24">
        <v>28</v>
      </c>
      <c r="H8" s="44"/>
      <c r="I8" s="24">
        <v>28</v>
      </c>
      <c r="J8" s="44">
        <f t="shared" si="0"/>
        <v>28</v>
      </c>
      <c r="K8" s="24">
        <v>28</v>
      </c>
      <c r="L8" s="44"/>
      <c r="M8" s="24">
        <v>28</v>
      </c>
      <c r="N8" s="44"/>
      <c r="O8" s="25">
        <f t="shared" si="1"/>
        <v>196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15" customHeight="1" x14ac:dyDescent="0.5">
      <c r="A9" s="10" t="s">
        <v>20</v>
      </c>
      <c r="B9" s="11">
        <v>459</v>
      </c>
      <c r="C9" s="24"/>
      <c r="D9" s="44"/>
      <c r="E9" s="24"/>
      <c r="F9" s="44"/>
      <c r="G9" s="24"/>
      <c r="H9" s="44"/>
      <c r="I9" s="24"/>
      <c r="J9" s="44">
        <f t="shared" si="0"/>
        <v>0</v>
      </c>
      <c r="K9" s="24"/>
      <c r="L9" s="44"/>
      <c r="M9" s="24"/>
      <c r="N9" s="44"/>
      <c r="O9" s="25">
        <f t="shared" si="1"/>
        <v>0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.15" customHeight="1" x14ac:dyDescent="0.5">
      <c r="A10" s="10" t="s">
        <v>21</v>
      </c>
      <c r="B10" s="11">
        <v>765</v>
      </c>
      <c r="C10" s="24"/>
      <c r="D10" s="44"/>
      <c r="E10" s="24"/>
      <c r="F10" s="44"/>
      <c r="G10" s="24"/>
      <c r="H10" s="44"/>
      <c r="I10" s="24"/>
      <c r="J10" s="44">
        <f t="shared" si="0"/>
        <v>0</v>
      </c>
      <c r="K10" s="24"/>
      <c r="L10" s="44"/>
      <c r="M10" s="24"/>
      <c r="N10" s="44"/>
      <c r="O10" s="25">
        <f t="shared" si="1"/>
        <v>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8.15" customHeight="1" x14ac:dyDescent="0.5">
      <c r="A11" s="10" t="s">
        <v>22</v>
      </c>
      <c r="B11" s="11">
        <v>780.99</v>
      </c>
      <c r="C11" s="24"/>
      <c r="D11" s="24"/>
      <c r="E11" s="24"/>
      <c r="F11" s="24"/>
      <c r="G11" s="24"/>
      <c r="H11" s="24"/>
      <c r="I11" s="24"/>
      <c r="J11" s="44">
        <f t="shared" si="0"/>
        <v>0</v>
      </c>
      <c r="K11" s="24"/>
      <c r="L11" s="24"/>
      <c r="M11" s="24"/>
      <c r="N11" s="24"/>
      <c r="O11" s="25">
        <f t="shared" si="1"/>
        <v>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15" customHeight="1" x14ac:dyDescent="0.5">
      <c r="A12" s="10" t="s">
        <v>23</v>
      </c>
      <c r="B12" s="11">
        <v>344.25</v>
      </c>
      <c r="C12" s="24"/>
      <c r="D12" s="44"/>
      <c r="E12" s="24"/>
      <c r="F12" s="44"/>
      <c r="G12" s="24"/>
      <c r="H12" s="44"/>
      <c r="I12" s="24"/>
      <c r="J12" s="44">
        <f t="shared" si="0"/>
        <v>0</v>
      </c>
      <c r="K12" s="24"/>
      <c r="L12" s="44"/>
      <c r="M12" s="24"/>
      <c r="N12" s="44"/>
      <c r="O12" s="25">
        <f t="shared" si="1"/>
        <v>0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8.15" customHeight="1" x14ac:dyDescent="0.5">
      <c r="A13" s="10" t="s">
        <v>24</v>
      </c>
      <c r="B13" s="11">
        <v>428.4</v>
      </c>
      <c r="C13" s="24">
        <v>2134</v>
      </c>
      <c r="D13" s="24">
        <v>2134</v>
      </c>
      <c r="E13" s="24">
        <v>2134</v>
      </c>
      <c r="F13" s="24">
        <v>2134</v>
      </c>
      <c r="G13" s="24">
        <v>2134</v>
      </c>
      <c r="H13" s="24">
        <v>2134</v>
      </c>
      <c r="I13" s="24">
        <v>2134</v>
      </c>
      <c r="J13" s="44">
        <f t="shared" si="0"/>
        <v>2134</v>
      </c>
      <c r="K13" s="24">
        <v>2134</v>
      </c>
      <c r="L13" s="24">
        <v>2134</v>
      </c>
      <c r="M13" s="24">
        <v>2134</v>
      </c>
      <c r="N13" s="24">
        <v>2134</v>
      </c>
      <c r="O13" s="25">
        <f t="shared" si="1"/>
        <v>25608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8.15" customHeight="1" x14ac:dyDescent="0.5">
      <c r="A14" s="10" t="s">
        <v>25</v>
      </c>
      <c r="B14" s="11">
        <v>459</v>
      </c>
      <c r="C14" s="24">
        <v>25</v>
      </c>
      <c r="D14" s="24">
        <v>25</v>
      </c>
      <c r="E14" s="24">
        <v>25</v>
      </c>
      <c r="F14" s="24">
        <v>25</v>
      </c>
      <c r="G14" s="24">
        <v>25</v>
      </c>
      <c r="H14" s="24">
        <v>25</v>
      </c>
      <c r="I14" s="24">
        <v>25</v>
      </c>
      <c r="J14" s="44">
        <f t="shared" si="0"/>
        <v>25</v>
      </c>
      <c r="K14" s="24">
        <v>25</v>
      </c>
      <c r="L14" s="24">
        <v>25</v>
      </c>
      <c r="M14" s="24">
        <v>25</v>
      </c>
      <c r="N14" s="24">
        <v>25</v>
      </c>
      <c r="O14" s="25">
        <f t="shared" si="1"/>
        <v>300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8.15" customHeight="1" x14ac:dyDescent="0.5">
      <c r="A15" s="10" t="s">
        <v>26</v>
      </c>
      <c r="B15" s="11">
        <v>550.79999999999995</v>
      </c>
      <c r="C15" s="24">
        <v>25</v>
      </c>
      <c r="D15" s="24">
        <v>25</v>
      </c>
      <c r="E15" s="24">
        <v>25</v>
      </c>
      <c r="F15" s="24">
        <v>25</v>
      </c>
      <c r="G15" s="24">
        <v>25</v>
      </c>
      <c r="H15" s="24">
        <v>25</v>
      </c>
      <c r="I15" s="24">
        <v>25</v>
      </c>
      <c r="J15" s="44">
        <f t="shared" si="0"/>
        <v>25</v>
      </c>
      <c r="K15" s="24">
        <v>25</v>
      </c>
      <c r="L15" s="24">
        <v>25</v>
      </c>
      <c r="M15" s="24">
        <v>25</v>
      </c>
      <c r="N15" s="24">
        <v>25</v>
      </c>
      <c r="O15" s="25">
        <f t="shared" si="1"/>
        <v>300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8.15" customHeight="1" x14ac:dyDescent="0.5">
      <c r="A16" s="13" t="s">
        <v>27</v>
      </c>
      <c r="B16" s="14">
        <v>122.4</v>
      </c>
      <c r="C16" s="45"/>
      <c r="D16" s="45"/>
      <c r="E16" s="45"/>
      <c r="F16" s="45"/>
      <c r="G16" s="45"/>
      <c r="H16" s="45"/>
      <c r="I16" s="45"/>
      <c r="J16" s="44">
        <f t="shared" si="0"/>
        <v>0</v>
      </c>
      <c r="K16" s="45"/>
      <c r="L16" s="45"/>
      <c r="M16" s="45"/>
      <c r="N16" s="45"/>
      <c r="O16" s="25">
        <f t="shared" si="1"/>
        <v>0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8.15" customHeight="1" x14ac:dyDescent="0.5">
      <c r="A17" s="13" t="s">
        <v>28</v>
      </c>
      <c r="B17" s="14">
        <v>481.95</v>
      </c>
      <c r="C17" s="46"/>
      <c r="D17" s="46"/>
      <c r="E17" s="46"/>
      <c r="F17" s="46"/>
      <c r="G17" s="46"/>
      <c r="H17" s="46"/>
      <c r="I17" s="46"/>
      <c r="J17" s="44">
        <f t="shared" si="0"/>
        <v>0</v>
      </c>
      <c r="K17" s="46"/>
      <c r="L17" s="46"/>
      <c r="M17" s="46"/>
      <c r="N17" s="46"/>
      <c r="O17" s="25">
        <f t="shared" si="1"/>
        <v>0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8.15" customHeight="1" x14ac:dyDescent="0.5">
      <c r="A18" s="13" t="s">
        <v>29</v>
      </c>
      <c r="B18" s="14">
        <v>283.05</v>
      </c>
      <c r="C18" s="45"/>
      <c r="D18" s="45"/>
      <c r="E18" s="45"/>
      <c r="F18" s="45"/>
      <c r="G18" s="45"/>
      <c r="H18" s="45"/>
      <c r="I18" s="45"/>
      <c r="J18" s="44">
        <f t="shared" si="0"/>
        <v>0</v>
      </c>
      <c r="K18" s="45"/>
      <c r="L18" s="45"/>
      <c r="M18" s="45"/>
      <c r="N18" s="45"/>
      <c r="O18" s="25">
        <f t="shared" si="1"/>
        <v>0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8.15" customHeight="1" x14ac:dyDescent="0.5">
      <c r="A19" s="13" t="s">
        <v>30</v>
      </c>
      <c r="B19" s="14">
        <v>344.25</v>
      </c>
      <c r="C19" s="45"/>
      <c r="D19" s="45"/>
      <c r="E19" s="45"/>
      <c r="F19" s="45"/>
      <c r="G19" s="45"/>
      <c r="H19" s="45"/>
      <c r="I19" s="45"/>
      <c r="J19" s="44">
        <f t="shared" si="0"/>
        <v>0</v>
      </c>
      <c r="K19" s="45"/>
      <c r="L19" s="45"/>
      <c r="M19" s="45"/>
      <c r="N19" s="45"/>
      <c r="O19" s="25">
        <f t="shared" si="1"/>
        <v>0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15" customHeight="1" x14ac:dyDescent="0.5">
      <c r="A20" s="13" t="s">
        <v>31</v>
      </c>
      <c r="B20" s="15">
        <v>342.39</v>
      </c>
      <c r="C20" s="45"/>
      <c r="D20" s="45"/>
      <c r="E20" s="45"/>
      <c r="F20" s="45"/>
      <c r="G20" s="45"/>
      <c r="H20" s="45"/>
      <c r="I20" s="45"/>
      <c r="J20" s="44">
        <f t="shared" si="0"/>
        <v>0</v>
      </c>
      <c r="K20" s="45"/>
      <c r="L20" s="45"/>
      <c r="M20" s="45"/>
      <c r="N20" s="45"/>
      <c r="O20" s="25">
        <f t="shared" si="1"/>
        <v>0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8.15" customHeight="1" x14ac:dyDescent="0.5">
      <c r="A21" s="13" t="s">
        <v>32</v>
      </c>
      <c r="B21" s="15">
        <v>213.99</v>
      </c>
      <c r="C21" s="45"/>
      <c r="D21" s="45"/>
      <c r="E21" s="45"/>
      <c r="F21" s="45"/>
      <c r="G21" s="45"/>
      <c r="H21" s="45"/>
      <c r="I21" s="45"/>
      <c r="J21" s="44">
        <f t="shared" si="0"/>
        <v>0</v>
      </c>
      <c r="K21" s="45"/>
      <c r="L21" s="45"/>
      <c r="M21" s="45"/>
      <c r="N21" s="45"/>
      <c r="O21" s="25">
        <f t="shared" si="1"/>
        <v>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8.15" customHeight="1" x14ac:dyDescent="0.5">
      <c r="A22" s="16" t="s">
        <v>33</v>
      </c>
      <c r="B22" s="15">
        <v>1512.71</v>
      </c>
      <c r="C22" s="45"/>
      <c r="D22" s="45"/>
      <c r="E22" s="45"/>
      <c r="F22" s="45"/>
      <c r="G22" s="45"/>
      <c r="H22" s="45"/>
      <c r="I22" s="45"/>
      <c r="J22" s="44">
        <f t="shared" si="0"/>
        <v>0</v>
      </c>
      <c r="K22" s="45"/>
      <c r="L22" s="45"/>
      <c r="M22" s="45"/>
      <c r="N22" s="45"/>
      <c r="O22" s="25">
        <f t="shared" si="1"/>
        <v>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8.15" customHeight="1" x14ac:dyDescent="0.5">
      <c r="A23" s="13" t="s">
        <v>34</v>
      </c>
      <c r="B23" s="14">
        <v>573.75</v>
      </c>
      <c r="C23" s="45"/>
      <c r="D23" s="46"/>
      <c r="E23" s="45"/>
      <c r="F23" s="46"/>
      <c r="G23" s="45"/>
      <c r="H23" s="46"/>
      <c r="I23" s="45"/>
      <c r="J23" s="44">
        <f t="shared" si="0"/>
        <v>0</v>
      </c>
      <c r="K23" s="45"/>
      <c r="L23" s="46"/>
      <c r="M23" s="45"/>
      <c r="N23" s="46"/>
      <c r="O23" s="25">
        <f t="shared" si="1"/>
        <v>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8.15" customHeight="1" x14ac:dyDescent="0.5">
      <c r="A24" s="13" t="s">
        <v>35</v>
      </c>
      <c r="B24" s="14">
        <v>979.29</v>
      </c>
      <c r="C24" s="45"/>
      <c r="D24" s="45"/>
      <c r="E24" s="45"/>
      <c r="F24" s="45"/>
      <c r="G24" s="45"/>
      <c r="H24" s="45"/>
      <c r="I24" s="45"/>
      <c r="J24" s="44">
        <f t="shared" si="0"/>
        <v>0</v>
      </c>
      <c r="K24" s="45"/>
      <c r="L24" s="45"/>
      <c r="M24" s="45"/>
      <c r="N24" s="45"/>
      <c r="O24" s="25">
        <f t="shared" si="1"/>
        <v>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8.15" customHeight="1" x14ac:dyDescent="0.5">
      <c r="A25" s="13" t="s">
        <v>36</v>
      </c>
      <c r="B25" s="14">
        <v>491.78</v>
      </c>
      <c r="C25" s="45"/>
      <c r="D25" s="46"/>
      <c r="E25" s="45"/>
      <c r="F25" s="46"/>
      <c r="G25" s="45"/>
      <c r="H25" s="46"/>
      <c r="I25" s="45"/>
      <c r="J25" s="44">
        <f t="shared" si="0"/>
        <v>0</v>
      </c>
      <c r="K25" s="45"/>
      <c r="L25" s="46"/>
      <c r="M25" s="45"/>
      <c r="N25" s="46"/>
      <c r="O25" s="25">
        <f t="shared" si="1"/>
        <v>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8.15" customHeight="1" x14ac:dyDescent="0.5">
      <c r="A26" s="13" t="s">
        <v>37</v>
      </c>
      <c r="B26" s="14">
        <v>589.74</v>
      </c>
      <c r="C26" s="45"/>
      <c r="D26" s="46"/>
      <c r="E26" s="45"/>
      <c r="F26" s="46"/>
      <c r="G26" s="45"/>
      <c r="H26" s="46"/>
      <c r="I26" s="45"/>
      <c r="J26" s="44">
        <f t="shared" si="0"/>
        <v>0</v>
      </c>
      <c r="K26" s="45"/>
      <c r="L26" s="46"/>
      <c r="M26" s="45"/>
      <c r="N26" s="46"/>
      <c r="O26" s="25">
        <f t="shared" si="1"/>
        <v>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8.15" customHeight="1" x14ac:dyDescent="0.5">
      <c r="A27" s="16" t="s">
        <v>38</v>
      </c>
      <c r="B27" s="15">
        <v>198</v>
      </c>
      <c r="C27" s="45"/>
      <c r="D27" s="45"/>
      <c r="E27" s="45"/>
      <c r="F27" s="45"/>
      <c r="G27" s="45"/>
      <c r="H27" s="45"/>
      <c r="I27" s="45"/>
      <c r="J27" s="44">
        <f t="shared" si="0"/>
        <v>0</v>
      </c>
      <c r="K27" s="45"/>
      <c r="L27" s="45"/>
      <c r="M27" s="45"/>
      <c r="N27" s="45"/>
      <c r="O27" s="25">
        <f t="shared" si="1"/>
        <v>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8.15" customHeight="1" x14ac:dyDescent="0.5">
      <c r="A28" s="17" t="s">
        <v>39</v>
      </c>
      <c r="B28" s="18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9"/>
      <c r="O28" s="2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8.15" customHeight="1" x14ac:dyDescent="0.5">
      <c r="A29" s="17" t="s">
        <v>40</v>
      </c>
      <c r="B29" s="18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9"/>
      <c r="O29" s="2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8.15" customHeight="1" x14ac:dyDescent="0.5">
      <c r="A30" s="30" t="s">
        <v>41</v>
      </c>
      <c r="B30" s="18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9"/>
      <c r="O30" s="2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8.15" customHeight="1" x14ac:dyDescent="0.5">
      <c r="A31" s="30" t="s">
        <v>42</v>
      </c>
      <c r="B31" s="1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9"/>
      <c r="O31" s="2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8.15" customHeight="1" thickBot="1" x14ac:dyDescent="0.45">
      <c r="A32" s="30" t="s">
        <v>43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3"/>
      <c r="O32" s="34"/>
    </row>
    <row r="33" spans="1:15" ht="26.25" customHeight="1" thickTop="1" thickBot="1" x14ac:dyDescent="0.45">
      <c r="A33" s="19" t="s">
        <v>44</v>
      </c>
      <c r="B33" s="37"/>
      <c r="C33" s="47">
        <f t="shared" ref="C33:O33" si="2">SUMPRODUCT($B$5:$B$32,C5:C32)</f>
        <v>977933.79999999993</v>
      </c>
      <c r="D33" s="47">
        <f t="shared" si="2"/>
        <v>939450.6</v>
      </c>
      <c r="E33" s="47">
        <f t="shared" si="2"/>
        <v>977933.79999999993</v>
      </c>
      <c r="F33" s="47">
        <f t="shared" si="2"/>
        <v>939450.6</v>
      </c>
      <c r="G33" s="47">
        <f t="shared" si="2"/>
        <v>977933.79999999993</v>
      </c>
      <c r="H33" s="47">
        <f t="shared" si="2"/>
        <v>939450.6</v>
      </c>
      <c r="I33" s="47">
        <f t="shared" si="2"/>
        <v>977933.79999999993</v>
      </c>
      <c r="J33" s="47">
        <f t="shared" si="2"/>
        <v>977933.79999999993</v>
      </c>
      <c r="K33" s="47">
        <f t="shared" si="2"/>
        <v>977933.79999999993</v>
      </c>
      <c r="L33" s="47">
        <f t="shared" si="2"/>
        <v>939450.6</v>
      </c>
      <c r="M33" s="47">
        <f t="shared" si="2"/>
        <v>977933.79999999993</v>
      </c>
      <c r="N33" s="48">
        <f t="shared" si="2"/>
        <v>939450.6</v>
      </c>
      <c r="O33" s="49">
        <f t="shared" si="2"/>
        <v>11542789.6</v>
      </c>
    </row>
    <row r="34" spans="1:15" ht="31.5" customHeight="1" thickTop="1" thickBot="1" x14ac:dyDescent="0.45">
      <c r="A34" s="19" t="s">
        <v>45</v>
      </c>
      <c r="B34" s="37"/>
      <c r="C34" s="47">
        <f t="shared" ref="C34:O34" si="3">C33/0.9</f>
        <v>1086593.111111111</v>
      </c>
      <c r="D34" s="47">
        <f t="shared" si="3"/>
        <v>1043834</v>
      </c>
      <c r="E34" s="47">
        <f t="shared" si="3"/>
        <v>1086593.111111111</v>
      </c>
      <c r="F34" s="47">
        <f t="shared" si="3"/>
        <v>1043834</v>
      </c>
      <c r="G34" s="47">
        <f t="shared" si="3"/>
        <v>1086593.111111111</v>
      </c>
      <c r="H34" s="47">
        <f t="shared" si="3"/>
        <v>1043834</v>
      </c>
      <c r="I34" s="47">
        <f t="shared" si="3"/>
        <v>1086593.111111111</v>
      </c>
      <c r="J34" s="47">
        <f t="shared" si="3"/>
        <v>1086593.111111111</v>
      </c>
      <c r="K34" s="47">
        <f t="shared" si="3"/>
        <v>1086593.111111111</v>
      </c>
      <c r="L34" s="47">
        <f t="shared" si="3"/>
        <v>1043834</v>
      </c>
      <c r="M34" s="47">
        <f t="shared" si="3"/>
        <v>1086593.111111111</v>
      </c>
      <c r="N34" s="48">
        <f t="shared" si="3"/>
        <v>1043834</v>
      </c>
      <c r="O34" s="49">
        <f t="shared" si="3"/>
        <v>12825321.777777776</v>
      </c>
    </row>
    <row r="35" spans="1:15" ht="15.75" thickTop="1" x14ac:dyDescent="0.25"/>
    <row r="38" spans="1:15" ht="16.350000000000001" customHeight="1" x14ac:dyDescent="0.25"/>
  </sheetData>
  <mergeCells count="3">
    <mergeCell ref="A1:O1"/>
    <mergeCell ref="G2:O2"/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94E0-B6AB-4521-89C0-0CD9CE02E046}">
  <dimension ref="A1:AG38"/>
  <sheetViews>
    <sheetView topLeftCell="A21" zoomScale="60" zoomScaleNormal="60" workbookViewId="0">
      <selection activeCell="G29" sqref="G29"/>
    </sheetView>
  </sheetViews>
  <sheetFormatPr defaultRowHeight="15" x14ac:dyDescent="0.25"/>
  <cols>
    <col min="1" max="1" width="34.7109375" customWidth="1"/>
    <col min="2" max="2" width="12.28515625" bestFit="1" customWidth="1"/>
    <col min="3" max="14" width="17.7109375" customWidth="1"/>
    <col min="15" max="15" width="23" customWidth="1"/>
  </cols>
  <sheetData>
    <row r="1" spans="1:33" ht="37.5" customHeight="1" thickTop="1" thickBo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spans="1:33" ht="36.75" customHeight="1" thickTop="1" thickBot="1" x14ac:dyDescent="0.3">
      <c r="A2" s="43" t="s">
        <v>47</v>
      </c>
      <c r="B2" s="43"/>
      <c r="C2" s="42"/>
      <c r="D2" s="42"/>
      <c r="E2" s="35"/>
      <c r="F2" s="35"/>
      <c r="G2" s="54" t="s">
        <v>46</v>
      </c>
      <c r="H2" s="54"/>
      <c r="I2" s="54"/>
      <c r="J2" s="54"/>
      <c r="K2" s="54"/>
      <c r="L2" s="54"/>
      <c r="M2" s="54"/>
      <c r="N2" s="54"/>
      <c r="O2" s="54"/>
    </row>
    <row r="3" spans="1:33" s="2" customFormat="1" ht="34.5" customHeight="1" thickTop="1" thickBot="1" x14ac:dyDescent="0.3">
      <c r="A3" s="20" t="s">
        <v>1</v>
      </c>
      <c r="B3" s="2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36" t="s">
        <v>15</v>
      </c>
    </row>
    <row r="4" spans="1:33" s="2" customFormat="1" ht="18" hidden="1" customHeight="1" x14ac:dyDescent="0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2"/>
      <c r="O4" s="23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/>
      <c r="AB4" s="7"/>
      <c r="AC4" s="7"/>
      <c r="AD4" s="7"/>
      <c r="AE4" s="7"/>
      <c r="AF4" s="7"/>
      <c r="AG4" s="7"/>
    </row>
    <row r="5" spans="1:33" ht="28.15" customHeight="1" thickTop="1" x14ac:dyDescent="0.5">
      <c r="A5" s="8" t="s">
        <v>16</v>
      </c>
      <c r="B5" s="9">
        <v>742.05</v>
      </c>
      <c r="C5" s="24">
        <f>SUM(JPMC!C5+GULSHAN!C5+NAZIMABAD!C5+'KHI CIVIL'!C5+KORANGI!C5)</f>
        <v>96</v>
      </c>
      <c r="D5" s="24">
        <f>SUM(JPMC!D5+GULSHAN!D5+NAZIMABAD!D5+'KHI CIVIL'!D5+KORANGI!D5)</f>
        <v>102</v>
      </c>
      <c r="E5" s="24">
        <f>SUM(JPMC!E5+GULSHAN!E5+NAZIMABAD!E5+'KHI CIVIL'!E5+KORANGI!E5)</f>
        <v>108</v>
      </c>
      <c r="F5" s="24">
        <f>SUM(JPMC!F5+GULSHAN!F5+NAZIMABAD!F5+'KHI CIVIL'!F5+KORANGI!F5)</f>
        <v>114</v>
      </c>
      <c r="G5" s="24">
        <f>SUM(JPMC!G5+GULSHAN!G5+NAZIMABAD!G5+'KHI CIVIL'!G5+KORANGI!G5)</f>
        <v>120</v>
      </c>
      <c r="H5" s="24">
        <f>SUM(JPMC!H5+GULSHAN!H5+NAZIMABAD!H5+'KHI CIVIL'!H5+KORANGI!H5)</f>
        <v>126</v>
      </c>
      <c r="I5" s="24">
        <f>SUM(JPMC!I5+GULSHAN!I5+NAZIMABAD!I5+'KHI CIVIL'!I5+KORANGI!I5)</f>
        <v>132</v>
      </c>
      <c r="J5" s="24">
        <f>SUM(JPMC!J5+GULSHAN!J5+NAZIMABAD!J5+'KHI CIVIL'!J5+KORANGI!J5)</f>
        <v>132</v>
      </c>
      <c r="K5" s="24">
        <f>SUM(JPMC!K5+GULSHAN!K5+NAZIMABAD!K5+'KHI CIVIL'!K5+KORANGI!K5)</f>
        <v>138</v>
      </c>
      <c r="L5" s="24">
        <f>SUM(JPMC!L5+GULSHAN!L5+NAZIMABAD!L5+'KHI CIVIL'!L5+KORANGI!L5)</f>
        <v>144</v>
      </c>
      <c r="M5" s="24">
        <f>SUM(JPMC!M5+GULSHAN!M5+NAZIMABAD!M5+'KHI CIVIL'!M5+KORANGI!M5)</f>
        <v>150</v>
      </c>
      <c r="N5" s="24">
        <f>SUM(JPMC!N5+GULSHAN!N5+NAZIMABAD!N5+'KHI CIVIL'!N5+KORANGI!N5)</f>
        <v>156</v>
      </c>
      <c r="O5" s="25">
        <f>SUM(C5:N5)</f>
        <v>1518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/>
      <c r="AB5" s="7"/>
      <c r="AC5" s="7"/>
      <c r="AD5" s="7"/>
      <c r="AE5" s="7"/>
      <c r="AF5" s="7"/>
      <c r="AG5" s="7"/>
    </row>
    <row r="6" spans="1:33" ht="28.15" customHeight="1" x14ac:dyDescent="0.5">
      <c r="A6" s="10" t="s">
        <v>17</v>
      </c>
      <c r="B6" s="11">
        <v>2065.5</v>
      </c>
      <c r="C6" s="24">
        <f>SUM(JPMC!C6+GULSHAN!C6+NAZIMABAD!C6+'KHI CIVIL'!C6+KORANGI!C6)</f>
        <v>292</v>
      </c>
      <c r="D6" s="24">
        <f>SUM(JPMC!D6+GULSHAN!D6+NAZIMABAD!D6+'KHI CIVIL'!D6+KORANGI!D6)</f>
        <v>302</v>
      </c>
      <c r="E6" s="24">
        <f>SUM(JPMC!E6+GULSHAN!E6+NAZIMABAD!E6+'KHI CIVIL'!E6+KORANGI!E6)</f>
        <v>312</v>
      </c>
      <c r="F6" s="24">
        <f>SUM(JPMC!F6+GULSHAN!F6+NAZIMABAD!F6+'KHI CIVIL'!F6+KORANGI!F6)</f>
        <v>322</v>
      </c>
      <c r="G6" s="24">
        <f>SUM(JPMC!G6+GULSHAN!G6+NAZIMABAD!G6+'KHI CIVIL'!G6+KORANGI!G6)</f>
        <v>332</v>
      </c>
      <c r="H6" s="24">
        <f>SUM(JPMC!H6+GULSHAN!H6+NAZIMABAD!H6+'KHI CIVIL'!H6+KORANGI!H6)</f>
        <v>342</v>
      </c>
      <c r="I6" s="24">
        <f>SUM(JPMC!I6+GULSHAN!I6+NAZIMABAD!I6+'KHI CIVIL'!I6+KORANGI!I6)</f>
        <v>352</v>
      </c>
      <c r="J6" s="24">
        <f>SUM(JPMC!J6+GULSHAN!J6+NAZIMABAD!J6+'KHI CIVIL'!J6+KORANGI!J6)</f>
        <v>352</v>
      </c>
      <c r="K6" s="24">
        <f>SUM(JPMC!K6+GULSHAN!K6+NAZIMABAD!K6+'KHI CIVIL'!K6+KORANGI!K6)</f>
        <v>362</v>
      </c>
      <c r="L6" s="24">
        <f>SUM(JPMC!L6+GULSHAN!L6+NAZIMABAD!L6+'KHI CIVIL'!L6+KORANGI!L6)</f>
        <v>372</v>
      </c>
      <c r="M6" s="24">
        <f>SUM(JPMC!M6+GULSHAN!M6+NAZIMABAD!M6+'KHI CIVIL'!M6+KORANGI!M6)</f>
        <v>382</v>
      </c>
      <c r="N6" s="24">
        <f>SUM(JPMC!N6+GULSHAN!N6+NAZIMABAD!N6+'KHI CIVIL'!N6+KORANGI!N6)</f>
        <v>392</v>
      </c>
      <c r="O6" s="25">
        <f t="shared" ref="O6:O32" si="0">SUM(C6:N6)</f>
        <v>4114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7"/>
      <c r="AB6" s="7"/>
      <c r="AC6" s="7"/>
      <c r="AD6" s="7"/>
      <c r="AE6" s="7"/>
      <c r="AF6" s="7"/>
      <c r="AG6" s="7"/>
    </row>
    <row r="7" spans="1:33" ht="28.15" customHeight="1" x14ac:dyDescent="0.5">
      <c r="A7" s="10" t="s">
        <v>18</v>
      </c>
      <c r="B7" s="26">
        <v>600.37</v>
      </c>
      <c r="C7" s="24">
        <f>SUM(JPMC!C7+GULSHAN!C7+NAZIMABAD!C7+'KHI CIVIL'!C7+KORANGI!C7)</f>
        <v>124</v>
      </c>
      <c r="D7" s="24">
        <f>SUM(JPMC!D7+GULSHAN!D7+NAZIMABAD!D7+'KHI CIVIL'!D7+KORANGI!D7)</f>
        <v>134</v>
      </c>
      <c r="E7" s="24">
        <f>SUM(JPMC!E7+GULSHAN!E7+NAZIMABAD!E7+'KHI CIVIL'!E7+KORANGI!E7)</f>
        <v>144</v>
      </c>
      <c r="F7" s="24">
        <f>SUM(JPMC!F7+GULSHAN!F7+NAZIMABAD!F7+'KHI CIVIL'!F7+KORANGI!F7)</f>
        <v>154</v>
      </c>
      <c r="G7" s="24">
        <f>SUM(JPMC!G7+GULSHAN!G7+NAZIMABAD!G7+'KHI CIVIL'!G7+KORANGI!G7)</f>
        <v>164</v>
      </c>
      <c r="H7" s="24">
        <f>SUM(JPMC!H7+GULSHAN!H7+NAZIMABAD!H7+'KHI CIVIL'!H7+KORANGI!H7)</f>
        <v>174</v>
      </c>
      <c r="I7" s="24">
        <f>SUM(JPMC!I7+GULSHAN!I7+NAZIMABAD!I7+'KHI CIVIL'!I7+KORANGI!I7)</f>
        <v>184</v>
      </c>
      <c r="J7" s="24">
        <f>SUM(JPMC!J7+GULSHAN!J7+NAZIMABAD!J7+'KHI CIVIL'!J7+KORANGI!J7)</f>
        <v>184</v>
      </c>
      <c r="K7" s="24">
        <f>SUM(JPMC!K7+GULSHAN!K7+NAZIMABAD!K7+'KHI CIVIL'!K7+KORANGI!K7)</f>
        <v>194</v>
      </c>
      <c r="L7" s="24">
        <f>SUM(JPMC!L7+GULSHAN!L7+NAZIMABAD!L7+'KHI CIVIL'!L7+KORANGI!L7)</f>
        <v>204</v>
      </c>
      <c r="M7" s="24">
        <f>SUM(JPMC!M7+GULSHAN!M7+NAZIMABAD!M7+'KHI CIVIL'!M7+KORANGI!M7)</f>
        <v>214</v>
      </c>
      <c r="N7" s="24">
        <f>SUM(JPMC!N7+GULSHAN!N7+NAZIMABAD!N7+'KHI CIVIL'!N7+KORANGI!N7)</f>
        <v>224</v>
      </c>
      <c r="O7" s="25">
        <f t="shared" si="0"/>
        <v>2098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7"/>
      <c r="AB7" s="7"/>
      <c r="AC7" s="7"/>
      <c r="AD7" s="7"/>
      <c r="AE7" s="7"/>
      <c r="AF7" s="7"/>
      <c r="AG7" s="7"/>
    </row>
    <row r="8" spans="1:33" ht="28.15" customHeight="1" x14ac:dyDescent="0.5">
      <c r="A8" s="10" t="s">
        <v>19</v>
      </c>
      <c r="B8" s="26">
        <v>774.03</v>
      </c>
      <c r="C8" s="24">
        <f>SUM(JPMC!C8+GULSHAN!C8+NAZIMABAD!C8+'KHI CIVIL'!C8+KORANGI!C8)</f>
        <v>140</v>
      </c>
      <c r="D8" s="24">
        <f>SUM(JPMC!D8+GULSHAN!D8+NAZIMABAD!D8+'KHI CIVIL'!D8+KORANGI!D8)</f>
        <v>150</v>
      </c>
      <c r="E8" s="24">
        <f>SUM(JPMC!E8+GULSHAN!E8+NAZIMABAD!E8+'KHI CIVIL'!E8+KORANGI!E8)</f>
        <v>160</v>
      </c>
      <c r="F8" s="24">
        <f>SUM(JPMC!F8+GULSHAN!F8+NAZIMABAD!F8+'KHI CIVIL'!F8+KORANGI!F8)</f>
        <v>170</v>
      </c>
      <c r="G8" s="24">
        <f>SUM(JPMC!G8+GULSHAN!G8+NAZIMABAD!G8+'KHI CIVIL'!G8+KORANGI!G8)</f>
        <v>180</v>
      </c>
      <c r="H8" s="24">
        <f>SUM(JPMC!H8+GULSHAN!H8+NAZIMABAD!H8+'KHI CIVIL'!H8+KORANGI!H8)</f>
        <v>190</v>
      </c>
      <c r="I8" s="24">
        <f>SUM(JPMC!I8+GULSHAN!I8+NAZIMABAD!I8+'KHI CIVIL'!I8+KORANGI!I8)</f>
        <v>200</v>
      </c>
      <c r="J8" s="24">
        <f>SUM(JPMC!J8+GULSHAN!J8+NAZIMABAD!J8+'KHI CIVIL'!J8+KORANGI!J8)</f>
        <v>200</v>
      </c>
      <c r="K8" s="24">
        <f>SUM(JPMC!K8+GULSHAN!K8+NAZIMABAD!K8+'KHI CIVIL'!K8+KORANGI!K8)</f>
        <v>210</v>
      </c>
      <c r="L8" s="24">
        <f>SUM(JPMC!L8+GULSHAN!L8+NAZIMABAD!L8+'KHI CIVIL'!L8+KORANGI!L8)</f>
        <v>220</v>
      </c>
      <c r="M8" s="24">
        <f>SUM(JPMC!M8+GULSHAN!M8+NAZIMABAD!M8+'KHI CIVIL'!M8+KORANGI!M8)</f>
        <v>230</v>
      </c>
      <c r="N8" s="24">
        <f>SUM(JPMC!N8+GULSHAN!N8+NAZIMABAD!N8+'KHI CIVIL'!N8+KORANGI!N8)</f>
        <v>240</v>
      </c>
      <c r="O8" s="25">
        <f t="shared" si="0"/>
        <v>2290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7"/>
      <c r="AB8" s="7"/>
      <c r="AC8" s="7"/>
      <c r="AD8" s="7"/>
      <c r="AE8" s="7"/>
      <c r="AF8" s="7"/>
      <c r="AG8" s="7"/>
    </row>
    <row r="9" spans="1:33" ht="28.15" customHeight="1" x14ac:dyDescent="0.5">
      <c r="A9" s="10" t="s">
        <v>20</v>
      </c>
      <c r="B9" s="11">
        <v>459</v>
      </c>
      <c r="C9" s="24">
        <f>SUM(JPMC!C9+GULSHAN!C9+NAZIMABAD!C9+'KHI CIVIL'!C9+KORANGI!C9)</f>
        <v>80</v>
      </c>
      <c r="D9" s="24">
        <f>SUM(JPMC!D9+GULSHAN!D9+NAZIMABAD!D9+'KHI CIVIL'!D9+KORANGI!D9)</f>
        <v>90</v>
      </c>
      <c r="E9" s="24">
        <f>SUM(JPMC!E9+GULSHAN!E9+NAZIMABAD!E9+'KHI CIVIL'!E9+KORANGI!E9)</f>
        <v>100</v>
      </c>
      <c r="F9" s="24">
        <f>SUM(JPMC!F9+GULSHAN!F9+NAZIMABAD!F9+'KHI CIVIL'!F9+KORANGI!F9)</f>
        <v>110</v>
      </c>
      <c r="G9" s="24">
        <f>SUM(JPMC!G9+GULSHAN!G9+NAZIMABAD!G9+'KHI CIVIL'!G9+KORANGI!G9)</f>
        <v>120</v>
      </c>
      <c r="H9" s="24">
        <f>SUM(JPMC!H9+GULSHAN!H9+NAZIMABAD!H9+'KHI CIVIL'!H9+KORANGI!H9)</f>
        <v>130</v>
      </c>
      <c r="I9" s="24">
        <f>SUM(JPMC!I9+GULSHAN!I9+NAZIMABAD!I9+'KHI CIVIL'!I9+KORANGI!I9)</f>
        <v>140</v>
      </c>
      <c r="J9" s="24">
        <f>SUM(JPMC!J9+GULSHAN!J9+NAZIMABAD!J9+'KHI CIVIL'!J9+KORANGI!J9)</f>
        <v>140</v>
      </c>
      <c r="K9" s="24">
        <f>SUM(JPMC!K9+GULSHAN!K9+NAZIMABAD!K9+'KHI CIVIL'!K9+KORANGI!K9)</f>
        <v>150</v>
      </c>
      <c r="L9" s="24">
        <f>SUM(JPMC!L9+GULSHAN!L9+NAZIMABAD!L9+'KHI CIVIL'!L9+KORANGI!L9)</f>
        <v>160</v>
      </c>
      <c r="M9" s="24">
        <f>SUM(JPMC!M9+GULSHAN!M9+NAZIMABAD!M9+'KHI CIVIL'!M9+KORANGI!M9)</f>
        <v>170</v>
      </c>
      <c r="N9" s="24">
        <f>SUM(JPMC!N9+GULSHAN!N9+NAZIMABAD!N9+'KHI CIVIL'!N9+KORANGI!N9)</f>
        <v>180</v>
      </c>
      <c r="O9" s="25">
        <f t="shared" si="0"/>
        <v>1570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7"/>
      <c r="AB9" s="7"/>
      <c r="AC9" s="7"/>
      <c r="AD9" s="7"/>
      <c r="AE9" s="7"/>
      <c r="AF9" s="7"/>
      <c r="AG9" s="7"/>
    </row>
    <row r="10" spans="1:33" ht="28.15" customHeight="1" x14ac:dyDescent="0.5">
      <c r="A10" s="10" t="s">
        <v>21</v>
      </c>
      <c r="B10" s="11">
        <v>765</v>
      </c>
      <c r="C10" s="24">
        <f>SUM(JPMC!C10+GULSHAN!C10+NAZIMABAD!C10+'KHI CIVIL'!C10+KORANGI!C10)</f>
        <v>60</v>
      </c>
      <c r="D10" s="24">
        <f>SUM(JPMC!D10+GULSHAN!D10+NAZIMABAD!D10+'KHI CIVIL'!D10+KORANGI!D10)</f>
        <v>70</v>
      </c>
      <c r="E10" s="24">
        <f>SUM(JPMC!E10+GULSHAN!E10+NAZIMABAD!E10+'KHI CIVIL'!E10+KORANGI!E10)</f>
        <v>80</v>
      </c>
      <c r="F10" s="24">
        <f>SUM(JPMC!F10+GULSHAN!F10+NAZIMABAD!F10+'KHI CIVIL'!F10+KORANGI!F10)</f>
        <v>90</v>
      </c>
      <c r="G10" s="24">
        <f>SUM(JPMC!G10+GULSHAN!G10+NAZIMABAD!G10+'KHI CIVIL'!G10+KORANGI!G10)</f>
        <v>100</v>
      </c>
      <c r="H10" s="24">
        <f>SUM(JPMC!H10+GULSHAN!H10+NAZIMABAD!H10+'KHI CIVIL'!H10+KORANGI!H10)</f>
        <v>110</v>
      </c>
      <c r="I10" s="24">
        <f>SUM(JPMC!I10+GULSHAN!I10+NAZIMABAD!I10+'KHI CIVIL'!I10+KORANGI!I10)</f>
        <v>120</v>
      </c>
      <c r="J10" s="24">
        <f>SUM(JPMC!J10+GULSHAN!J10+NAZIMABAD!J10+'KHI CIVIL'!J10+KORANGI!J10)</f>
        <v>120</v>
      </c>
      <c r="K10" s="24">
        <f>SUM(JPMC!K10+GULSHAN!K10+NAZIMABAD!K10+'KHI CIVIL'!K10+KORANGI!K10)</f>
        <v>130</v>
      </c>
      <c r="L10" s="24">
        <f>SUM(JPMC!L10+GULSHAN!L10+NAZIMABAD!L10+'KHI CIVIL'!L10+KORANGI!L10)</f>
        <v>140</v>
      </c>
      <c r="M10" s="24">
        <f>SUM(JPMC!M10+GULSHAN!M10+NAZIMABAD!M10+'KHI CIVIL'!M10+KORANGI!M10)</f>
        <v>150</v>
      </c>
      <c r="N10" s="24">
        <f>SUM(JPMC!N10+GULSHAN!N10+NAZIMABAD!N10+'KHI CIVIL'!N10+KORANGI!N10)</f>
        <v>160</v>
      </c>
      <c r="O10" s="25">
        <f t="shared" si="0"/>
        <v>1330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7"/>
      <c r="AB10" s="7"/>
      <c r="AC10" s="7"/>
      <c r="AD10" s="7"/>
      <c r="AE10" s="7"/>
      <c r="AF10" s="7"/>
      <c r="AG10" s="7"/>
    </row>
    <row r="11" spans="1:33" ht="28.15" customHeight="1" x14ac:dyDescent="0.5">
      <c r="A11" s="10" t="s">
        <v>22</v>
      </c>
      <c r="B11" s="11">
        <v>780.99</v>
      </c>
      <c r="C11" s="24">
        <f>SUM(JPMC!C11+GULSHAN!C11+NAZIMABAD!C11+'KHI CIVIL'!C11+KORANGI!C11)</f>
        <v>20</v>
      </c>
      <c r="D11" s="24">
        <f>SUM(JPMC!D11+GULSHAN!D11+NAZIMABAD!D11+'KHI CIVIL'!D11+KORANGI!D11)</f>
        <v>22</v>
      </c>
      <c r="E11" s="24">
        <f>SUM(JPMC!E11+GULSHAN!E11+NAZIMABAD!E11+'KHI CIVIL'!E11+KORANGI!E11)</f>
        <v>24</v>
      </c>
      <c r="F11" s="24">
        <f>SUM(JPMC!F11+GULSHAN!F11+NAZIMABAD!F11+'KHI CIVIL'!F11+KORANGI!F11)</f>
        <v>26</v>
      </c>
      <c r="G11" s="24">
        <f>SUM(JPMC!G11+GULSHAN!G11+NAZIMABAD!G11+'KHI CIVIL'!G11+KORANGI!G11)</f>
        <v>28</v>
      </c>
      <c r="H11" s="24">
        <f>SUM(JPMC!H11+GULSHAN!H11+NAZIMABAD!H11+'KHI CIVIL'!H11+KORANGI!H11)</f>
        <v>30</v>
      </c>
      <c r="I11" s="24">
        <f>SUM(JPMC!I11+GULSHAN!I11+NAZIMABAD!I11+'KHI CIVIL'!I11+KORANGI!I11)</f>
        <v>32</v>
      </c>
      <c r="J11" s="24">
        <f>SUM(JPMC!J11+GULSHAN!J11+NAZIMABAD!J11+'KHI CIVIL'!J11+KORANGI!J11)</f>
        <v>32</v>
      </c>
      <c r="K11" s="24">
        <f>SUM(JPMC!K11+GULSHAN!K11+NAZIMABAD!K11+'KHI CIVIL'!K11+KORANGI!K11)</f>
        <v>34</v>
      </c>
      <c r="L11" s="24">
        <f>SUM(JPMC!L11+GULSHAN!L11+NAZIMABAD!L11+'KHI CIVIL'!L11+KORANGI!L11)</f>
        <v>36</v>
      </c>
      <c r="M11" s="24">
        <f>SUM(JPMC!M11+GULSHAN!M11+NAZIMABAD!M11+'KHI CIVIL'!M11+KORANGI!M11)</f>
        <v>38</v>
      </c>
      <c r="N11" s="24">
        <f>SUM(JPMC!N11+GULSHAN!N11+NAZIMABAD!N11+'KHI CIVIL'!N11+KORANGI!N11)</f>
        <v>40</v>
      </c>
      <c r="O11" s="25">
        <f t="shared" si="0"/>
        <v>362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7"/>
      <c r="AB11" s="7"/>
      <c r="AC11" s="7"/>
      <c r="AD11" s="7"/>
      <c r="AE11" s="7"/>
      <c r="AF11" s="7"/>
      <c r="AG11" s="7"/>
    </row>
    <row r="12" spans="1:33" ht="28.15" customHeight="1" x14ac:dyDescent="0.5">
      <c r="A12" s="10" t="s">
        <v>23</v>
      </c>
      <c r="B12" s="11">
        <v>344.25</v>
      </c>
      <c r="C12" s="24">
        <f>SUM(JPMC!C12+GULSHAN!C12+NAZIMABAD!C12+'KHI CIVIL'!C12+KORANGI!C12)</f>
        <v>90</v>
      </c>
      <c r="D12" s="24">
        <f>SUM(JPMC!D12+GULSHAN!D12+NAZIMABAD!D12+'KHI CIVIL'!D12+KORANGI!D12)</f>
        <v>100</v>
      </c>
      <c r="E12" s="24">
        <f>SUM(JPMC!E12+GULSHAN!E12+NAZIMABAD!E12+'KHI CIVIL'!E12+KORANGI!E12)</f>
        <v>110</v>
      </c>
      <c r="F12" s="24">
        <f>SUM(JPMC!F12+GULSHAN!F12+NAZIMABAD!F12+'KHI CIVIL'!F12+KORANGI!F12)</f>
        <v>120</v>
      </c>
      <c r="G12" s="24">
        <f>SUM(JPMC!G12+GULSHAN!G12+NAZIMABAD!G12+'KHI CIVIL'!G12+KORANGI!G12)</f>
        <v>130</v>
      </c>
      <c r="H12" s="24">
        <f>SUM(JPMC!H12+GULSHAN!H12+NAZIMABAD!H12+'KHI CIVIL'!H12+KORANGI!H12)</f>
        <v>140</v>
      </c>
      <c r="I12" s="24">
        <f>SUM(JPMC!I12+GULSHAN!I12+NAZIMABAD!I12+'KHI CIVIL'!I12+KORANGI!I12)</f>
        <v>150</v>
      </c>
      <c r="J12" s="24">
        <f>SUM(JPMC!J12+GULSHAN!J12+NAZIMABAD!J12+'KHI CIVIL'!J12+KORANGI!J12)</f>
        <v>150</v>
      </c>
      <c r="K12" s="24">
        <f>SUM(JPMC!K12+GULSHAN!K12+NAZIMABAD!K12+'KHI CIVIL'!K12+KORANGI!K12)</f>
        <v>160</v>
      </c>
      <c r="L12" s="24">
        <f>SUM(JPMC!L12+GULSHAN!L12+NAZIMABAD!L12+'KHI CIVIL'!L12+KORANGI!L12)</f>
        <v>170</v>
      </c>
      <c r="M12" s="24">
        <f>SUM(JPMC!M12+GULSHAN!M12+NAZIMABAD!M12+'KHI CIVIL'!M12+KORANGI!M12)</f>
        <v>180</v>
      </c>
      <c r="N12" s="24">
        <f>SUM(JPMC!N12+GULSHAN!N12+NAZIMABAD!N12+'KHI CIVIL'!N12+KORANGI!N12)</f>
        <v>190</v>
      </c>
      <c r="O12" s="25">
        <f t="shared" si="0"/>
        <v>1690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7"/>
      <c r="AB12" s="7"/>
      <c r="AC12" s="7"/>
      <c r="AD12" s="7"/>
      <c r="AE12" s="7"/>
      <c r="AF12" s="7"/>
      <c r="AG12" s="7"/>
    </row>
    <row r="13" spans="1:33" ht="28.15" customHeight="1" x14ac:dyDescent="0.5">
      <c r="A13" s="10" t="s">
        <v>24</v>
      </c>
      <c r="B13" s="11">
        <v>428.4</v>
      </c>
      <c r="C13" s="24">
        <f>SUM(JPMC!C13+GULSHAN!C13+NAZIMABAD!C13+'KHI CIVIL'!C13+KORANGI!C13)</f>
        <v>2555</v>
      </c>
      <c r="D13" s="24">
        <f>SUM(JPMC!D13+GULSHAN!D13+NAZIMABAD!D13+'KHI CIVIL'!D13+KORANGI!D13)</f>
        <v>2580</v>
      </c>
      <c r="E13" s="24">
        <f>SUM(JPMC!E13+GULSHAN!E13+NAZIMABAD!E13+'KHI CIVIL'!E13+KORANGI!E13)</f>
        <v>2605</v>
      </c>
      <c r="F13" s="24">
        <f>SUM(JPMC!F13+GULSHAN!F13+NAZIMABAD!F13+'KHI CIVIL'!F13+KORANGI!F13)</f>
        <v>2630</v>
      </c>
      <c r="G13" s="24">
        <f>SUM(JPMC!G13+GULSHAN!G13+NAZIMABAD!G13+'KHI CIVIL'!G13+KORANGI!G13)</f>
        <v>2655</v>
      </c>
      <c r="H13" s="24">
        <f>SUM(JPMC!H13+GULSHAN!H13+NAZIMABAD!H13+'KHI CIVIL'!H13+KORANGI!H13)</f>
        <v>2680</v>
      </c>
      <c r="I13" s="24">
        <f>SUM(JPMC!I13+GULSHAN!I13+NAZIMABAD!I13+'KHI CIVIL'!I13+KORANGI!I13)</f>
        <v>2705</v>
      </c>
      <c r="J13" s="24">
        <f>SUM(JPMC!J13+GULSHAN!J13+NAZIMABAD!J13+'KHI CIVIL'!J13+KORANGI!J13)</f>
        <v>2705</v>
      </c>
      <c r="K13" s="24">
        <f>SUM(JPMC!K13+GULSHAN!K13+NAZIMABAD!K13+'KHI CIVIL'!K13+KORANGI!K13)</f>
        <v>2730</v>
      </c>
      <c r="L13" s="24">
        <f>SUM(JPMC!L13+GULSHAN!L13+NAZIMABAD!L13+'KHI CIVIL'!L13+KORANGI!L13)</f>
        <v>2755</v>
      </c>
      <c r="M13" s="24">
        <f>SUM(JPMC!M13+GULSHAN!M13+NAZIMABAD!M13+'KHI CIVIL'!M13+KORANGI!M13)</f>
        <v>2780</v>
      </c>
      <c r="N13" s="24">
        <f>SUM(JPMC!N13+GULSHAN!N13+NAZIMABAD!N13+'KHI CIVIL'!N13+KORANGI!N13)</f>
        <v>2805</v>
      </c>
      <c r="O13" s="25">
        <f t="shared" si="0"/>
        <v>32185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7"/>
      <c r="AB13" s="7"/>
      <c r="AC13" s="7"/>
      <c r="AD13" s="7"/>
      <c r="AE13" s="7"/>
      <c r="AF13" s="7"/>
      <c r="AG13" s="7"/>
    </row>
    <row r="14" spans="1:33" ht="28.15" customHeight="1" x14ac:dyDescent="0.5">
      <c r="A14" s="10" t="s">
        <v>25</v>
      </c>
      <c r="B14" s="11">
        <v>459</v>
      </c>
      <c r="C14" s="24">
        <f>SUM(JPMC!C14+GULSHAN!C14+NAZIMABAD!C14+'KHI CIVIL'!C14+KORANGI!C14)</f>
        <v>40</v>
      </c>
      <c r="D14" s="24">
        <f>SUM(JPMC!D14+GULSHAN!D14+NAZIMABAD!D14+'KHI CIVIL'!D14+KORANGI!D14)</f>
        <v>47</v>
      </c>
      <c r="E14" s="24">
        <f>SUM(JPMC!E14+GULSHAN!E14+NAZIMABAD!E14+'KHI CIVIL'!E14+KORANGI!E14)</f>
        <v>54</v>
      </c>
      <c r="F14" s="24">
        <f>SUM(JPMC!F14+GULSHAN!F14+NAZIMABAD!F14+'KHI CIVIL'!F14+KORANGI!F14)</f>
        <v>61</v>
      </c>
      <c r="G14" s="24">
        <f>SUM(JPMC!G14+GULSHAN!G14+NAZIMABAD!G14+'KHI CIVIL'!G14+KORANGI!G14)</f>
        <v>68</v>
      </c>
      <c r="H14" s="24">
        <f>SUM(JPMC!H14+GULSHAN!H14+NAZIMABAD!H14+'KHI CIVIL'!H14+KORANGI!H14)</f>
        <v>75</v>
      </c>
      <c r="I14" s="24">
        <f>SUM(JPMC!I14+GULSHAN!I14+NAZIMABAD!I14+'KHI CIVIL'!I14+KORANGI!I14)</f>
        <v>82</v>
      </c>
      <c r="J14" s="24">
        <f>SUM(JPMC!J14+GULSHAN!J14+NAZIMABAD!J14+'KHI CIVIL'!J14+KORANGI!J14)</f>
        <v>82</v>
      </c>
      <c r="K14" s="24">
        <f>SUM(JPMC!K14+GULSHAN!K14+NAZIMABAD!K14+'KHI CIVIL'!K14+KORANGI!K14)</f>
        <v>89</v>
      </c>
      <c r="L14" s="24">
        <f>SUM(JPMC!L14+GULSHAN!L14+NAZIMABAD!L14+'KHI CIVIL'!L14+KORANGI!L14)</f>
        <v>96</v>
      </c>
      <c r="M14" s="24">
        <f>SUM(JPMC!M14+GULSHAN!M14+NAZIMABAD!M14+'KHI CIVIL'!M14+KORANGI!M14)</f>
        <v>103</v>
      </c>
      <c r="N14" s="24">
        <f>SUM(JPMC!N14+GULSHAN!N14+NAZIMABAD!N14+'KHI CIVIL'!N14+KORANGI!N14)</f>
        <v>110</v>
      </c>
      <c r="O14" s="25">
        <f t="shared" si="0"/>
        <v>907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7"/>
      <c r="AB14" s="7"/>
      <c r="AC14" s="7"/>
      <c r="AD14" s="7"/>
      <c r="AE14" s="7"/>
      <c r="AF14" s="7"/>
      <c r="AG14" s="7"/>
    </row>
    <row r="15" spans="1:33" ht="28.15" customHeight="1" x14ac:dyDescent="0.5">
      <c r="A15" s="10" t="s">
        <v>26</v>
      </c>
      <c r="B15" s="11">
        <v>550.79999999999995</v>
      </c>
      <c r="C15" s="24">
        <f>SUM(JPMC!C15+GULSHAN!C15+NAZIMABAD!C15+'KHI CIVIL'!C15+KORANGI!C15)</f>
        <v>40</v>
      </c>
      <c r="D15" s="24">
        <f>SUM(JPMC!D15+GULSHAN!D15+NAZIMABAD!D15+'KHI CIVIL'!D15+KORANGI!D15)</f>
        <v>47</v>
      </c>
      <c r="E15" s="24">
        <f>SUM(JPMC!E15+GULSHAN!E15+NAZIMABAD!E15+'KHI CIVIL'!E15+KORANGI!E15)</f>
        <v>54</v>
      </c>
      <c r="F15" s="24">
        <f>SUM(JPMC!F15+GULSHAN!F15+NAZIMABAD!F15+'KHI CIVIL'!F15+KORANGI!F15)</f>
        <v>61</v>
      </c>
      <c r="G15" s="24">
        <f>SUM(JPMC!G15+GULSHAN!G15+NAZIMABAD!G15+'KHI CIVIL'!G15+KORANGI!G15)</f>
        <v>68</v>
      </c>
      <c r="H15" s="24">
        <f>SUM(JPMC!H15+GULSHAN!H15+NAZIMABAD!H15+'KHI CIVIL'!H15+KORANGI!H15)</f>
        <v>75</v>
      </c>
      <c r="I15" s="24">
        <f>SUM(JPMC!I15+GULSHAN!I15+NAZIMABAD!I15+'KHI CIVIL'!I15+KORANGI!I15)</f>
        <v>82</v>
      </c>
      <c r="J15" s="24">
        <f>SUM(JPMC!J15+GULSHAN!J15+NAZIMABAD!J15+'KHI CIVIL'!J15+KORANGI!J15)</f>
        <v>82</v>
      </c>
      <c r="K15" s="24">
        <f>SUM(JPMC!K15+GULSHAN!K15+NAZIMABAD!K15+'KHI CIVIL'!K15+KORANGI!K15)</f>
        <v>89</v>
      </c>
      <c r="L15" s="24">
        <f>SUM(JPMC!L15+GULSHAN!L15+NAZIMABAD!L15+'KHI CIVIL'!L15+KORANGI!L15)</f>
        <v>96</v>
      </c>
      <c r="M15" s="24">
        <f>SUM(JPMC!M15+GULSHAN!M15+NAZIMABAD!M15+'KHI CIVIL'!M15+KORANGI!M15)</f>
        <v>103</v>
      </c>
      <c r="N15" s="24">
        <f>SUM(JPMC!N15+GULSHAN!N15+NAZIMABAD!N15+'KHI CIVIL'!N15+KORANGI!N15)</f>
        <v>110</v>
      </c>
      <c r="O15" s="25">
        <f t="shared" si="0"/>
        <v>907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2"/>
      <c r="AB15" s="12"/>
      <c r="AC15" s="12"/>
      <c r="AD15" s="12"/>
      <c r="AE15" s="12"/>
      <c r="AF15" s="12"/>
      <c r="AG15" s="12"/>
    </row>
    <row r="16" spans="1:33" ht="28.15" customHeight="1" x14ac:dyDescent="0.5">
      <c r="A16" s="13" t="s">
        <v>27</v>
      </c>
      <c r="B16" s="14">
        <v>122.4</v>
      </c>
      <c r="C16" s="24">
        <f>SUM(JPMC!C16+GULSHAN!C16+NAZIMABAD!C16+'KHI CIVIL'!C16+KORANGI!C16)</f>
        <v>450</v>
      </c>
      <c r="D16" s="24">
        <f>SUM(JPMC!D16+GULSHAN!D16+NAZIMABAD!D16+'KHI CIVIL'!D16+KORANGI!D16)</f>
        <v>470</v>
      </c>
      <c r="E16" s="24">
        <f>SUM(JPMC!E16+GULSHAN!E16+NAZIMABAD!E16+'KHI CIVIL'!E16+KORANGI!E16)</f>
        <v>490</v>
      </c>
      <c r="F16" s="24">
        <f>SUM(JPMC!F16+GULSHAN!F16+NAZIMABAD!F16+'KHI CIVIL'!F16+KORANGI!F16)</f>
        <v>510</v>
      </c>
      <c r="G16" s="24">
        <f>SUM(JPMC!G16+GULSHAN!G16+NAZIMABAD!G16+'KHI CIVIL'!G16+KORANGI!G16)</f>
        <v>530</v>
      </c>
      <c r="H16" s="24">
        <f>SUM(JPMC!H16+GULSHAN!H16+NAZIMABAD!H16+'KHI CIVIL'!H16+KORANGI!H16)</f>
        <v>550</v>
      </c>
      <c r="I16" s="24">
        <f>SUM(JPMC!I16+GULSHAN!I16+NAZIMABAD!I16+'KHI CIVIL'!I16+KORANGI!I16)</f>
        <v>570</v>
      </c>
      <c r="J16" s="24">
        <f>SUM(JPMC!J16+GULSHAN!J16+NAZIMABAD!J16+'KHI CIVIL'!J16+KORANGI!J16)</f>
        <v>570</v>
      </c>
      <c r="K16" s="24">
        <f>SUM(JPMC!K16+GULSHAN!K16+NAZIMABAD!K16+'KHI CIVIL'!K16+KORANGI!K16)</f>
        <v>590</v>
      </c>
      <c r="L16" s="24">
        <f>SUM(JPMC!L16+GULSHAN!L16+NAZIMABAD!L16+'KHI CIVIL'!L16+KORANGI!L16)</f>
        <v>610</v>
      </c>
      <c r="M16" s="24">
        <f>SUM(JPMC!M16+GULSHAN!M16+NAZIMABAD!M16+'KHI CIVIL'!M16+KORANGI!M16)</f>
        <v>630</v>
      </c>
      <c r="N16" s="24">
        <f>SUM(JPMC!N16+GULSHAN!N16+NAZIMABAD!N16+'KHI CIVIL'!N16+KORANGI!N16)</f>
        <v>650</v>
      </c>
      <c r="O16" s="25">
        <f t="shared" si="0"/>
        <v>6620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2"/>
      <c r="AB16" s="12"/>
      <c r="AC16" s="12"/>
      <c r="AD16" s="12"/>
      <c r="AE16" s="12"/>
      <c r="AF16" s="12"/>
      <c r="AG16" s="12"/>
    </row>
    <row r="17" spans="1:33" ht="28.15" customHeight="1" x14ac:dyDescent="0.5">
      <c r="A17" s="13" t="s">
        <v>28</v>
      </c>
      <c r="B17" s="14">
        <v>481.95</v>
      </c>
      <c r="C17" s="24">
        <f>SUM(JPMC!C17+GULSHAN!C17+NAZIMABAD!C17+'KHI CIVIL'!C17+KORANGI!C17)</f>
        <v>347</v>
      </c>
      <c r="D17" s="24">
        <f>SUM(JPMC!D17+GULSHAN!D17+NAZIMABAD!D17+'KHI CIVIL'!D17+KORANGI!D17)</f>
        <v>365</v>
      </c>
      <c r="E17" s="24">
        <f>SUM(JPMC!E17+GULSHAN!E17+NAZIMABAD!E17+'KHI CIVIL'!E17+KORANGI!E17)</f>
        <v>383</v>
      </c>
      <c r="F17" s="24">
        <f>SUM(JPMC!F17+GULSHAN!F17+NAZIMABAD!F17+'KHI CIVIL'!F17+KORANGI!F17)</f>
        <v>401</v>
      </c>
      <c r="G17" s="24">
        <f>SUM(JPMC!G17+GULSHAN!G17+NAZIMABAD!G17+'KHI CIVIL'!G17+KORANGI!G17)</f>
        <v>419</v>
      </c>
      <c r="H17" s="24">
        <f>SUM(JPMC!H17+GULSHAN!H17+NAZIMABAD!H17+'KHI CIVIL'!H17+KORANGI!H17)</f>
        <v>437</v>
      </c>
      <c r="I17" s="24">
        <f>SUM(JPMC!I17+GULSHAN!I17+NAZIMABAD!I17+'KHI CIVIL'!I17+KORANGI!I17)</f>
        <v>455</v>
      </c>
      <c r="J17" s="24">
        <f>SUM(JPMC!J17+GULSHAN!J17+NAZIMABAD!J17+'KHI CIVIL'!J17+KORANGI!J17)</f>
        <v>455</v>
      </c>
      <c r="K17" s="24">
        <f>SUM(JPMC!K17+GULSHAN!K17+NAZIMABAD!K17+'KHI CIVIL'!K17+KORANGI!K17)</f>
        <v>473</v>
      </c>
      <c r="L17" s="24">
        <f>SUM(JPMC!L17+GULSHAN!L17+NAZIMABAD!L17+'KHI CIVIL'!L17+KORANGI!L17)</f>
        <v>491</v>
      </c>
      <c r="M17" s="24">
        <f>SUM(JPMC!M17+GULSHAN!M17+NAZIMABAD!M17+'KHI CIVIL'!M17+KORANGI!M17)</f>
        <v>509</v>
      </c>
      <c r="N17" s="24">
        <f>SUM(JPMC!N17+GULSHAN!N17+NAZIMABAD!N17+'KHI CIVIL'!N17+KORANGI!N17)</f>
        <v>527</v>
      </c>
      <c r="O17" s="25">
        <f t="shared" si="0"/>
        <v>5262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2"/>
      <c r="AB17" s="12"/>
      <c r="AC17" s="12"/>
      <c r="AD17" s="12"/>
      <c r="AE17" s="12"/>
      <c r="AF17" s="12"/>
      <c r="AG17" s="12"/>
    </row>
    <row r="18" spans="1:33" ht="28.15" customHeight="1" x14ac:dyDescent="0.5">
      <c r="A18" s="13" t="s">
        <v>29</v>
      </c>
      <c r="B18" s="14">
        <v>283.05</v>
      </c>
      <c r="C18" s="24">
        <f>SUM(JPMC!C18+GULSHAN!C18+NAZIMABAD!C18+'KHI CIVIL'!C18+KORANGI!C18)</f>
        <v>421</v>
      </c>
      <c r="D18" s="24">
        <f>SUM(JPMC!D18+GULSHAN!D18+NAZIMABAD!D18+'KHI CIVIL'!D18+KORANGI!D18)</f>
        <v>442</v>
      </c>
      <c r="E18" s="24">
        <f>SUM(JPMC!E18+GULSHAN!E18+NAZIMABAD!E18+'KHI CIVIL'!E18+KORANGI!E18)</f>
        <v>463</v>
      </c>
      <c r="F18" s="24">
        <f>SUM(JPMC!F18+GULSHAN!F18+NAZIMABAD!F18+'KHI CIVIL'!F18+KORANGI!F18)</f>
        <v>484</v>
      </c>
      <c r="G18" s="24">
        <f>SUM(JPMC!G18+GULSHAN!G18+NAZIMABAD!G18+'KHI CIVIL'!G18+KORANGI!G18)</f>
        <v>505</v>
      </c>
      <c r="H18" s="24">
        <f>SUM(JPMC!H18+GULSHAN!H18+NAZIMABAD!H18+'KHI CIVIL'!H18+KORANGI!H18)</f>
        <v>526</v>
      </c>
      <c r="I18" s="24">
        <f>SUM(JPMC!I18+GULSHAN!I18+NAZIMABAD!I18+'KHI CIVIL'!I18+KORANGI!I18)</f>
        <v>547</v>
      </c>
      <c r="J18" s="24">
        <f>SUM(JPMC!J18+GULSHAN!J18+NAZIMABAD!J18+'KHI CIVIL'!J18+KORANGI!J18)</f>
        <v>547</v>
      </c>
      <c r="K18" s="24">
        <f>SUM(JPMC!K18+GULSHAN!K18+NAZIMABAD!K18+'KHI CIVIL'!K18+KORANGI!K18)</f>
        <v>568</v>
      </c>
      <c r="L18" s="24">
        <f>SUM(JPMC!L18+GULSHAN!L18+NAZIMABAD!L18+'KHI CIVIL'!L18+KORANGI!L18)</f>
        <v>589</v>
      </c>
      <c r="M18" s="24">
        <f>SUM(JPMC!M18+GULSHAN!M18+NAZIMABAD!M18+'KHI CIVIL'!M18+KORANGI!M18)</f>
        <v>610</v>
      </c>
      <c r="N18" s="24">
        <f>SUM(JPMC!N18+GULSHAN!N18+NAZIMABAD!N18+'KHI CIVIL'!N18+KORANGI!N18)</f>
        <v>631</v>
      </c>
      <c r="O18" s="25">
        <f t="shared" si="0"/>
        <v>6333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2"/>
      <c r="AB18" s="12"/>
      <c r="AC18" s="12"/>
      <c r="AD18" s="12"/>
      <c r="AE18" s="12"/>
      <c r="AF18" s="12"/>
      <c r="AG18" s="12"/>
    </row>
    <row r="19" spans="1:33" ht="28.15" customHeight="1" x14ac:dyDescent="0.5">
      <c r="A19" s="13" t="s">
        <v>30</v>
      </c>
      <c r="B19" s="14">
        <v>344.25</v>
      </c>
      <c r="C19" s="24">
        <f>SUM(JPMC!C19+GULSHAN!C19+NAZIMABAD!C19+'KHI CIVIL'!C19+KORANGI!C19)</f>
        <v>25</v>
      </c>
      <c r="D19" s="24">
        <f>SUM(JPMC!D19+GULSHAN!D19+NAZIMABAD!D19+'KHI CIVIL'!D19+KORANGI!D19)</f>
        <v>30</v>
      </c>
      <c r="E19" s="24">
        <f>SUM(JPMC!E19+GULSHAN!E19+NAZIMABAD!E19+'KHI CIVIL'!E19+KORANGI!E19)</f>
        <v>35</v>
      </c>
      <c r="F19" s="24">
        <f>SUM(JPMC!F19+GULSHAN!F19+NAZIMABAD!F19+'KHI CIVIL'!F19+KORANGI!F19)</f>
        <v>40</v>
      </c>
      <c r="G19" s="24">
        <f>SUM(JPMC!G19+GULSHAN!G19+NAZIMABAD!G19+'KHI CIVIL'!G19+KORANGI!G19)</f>
        <v>45</v>
      </c>
      <c r="H19" s="24">
        <f>SUM(JPMC!H19+GULSHAN!H19+NAZIMABAD!H19+'KHI CIVIL'!H19+KORANGI!H19)</f>
        <v>50</v>
      </c>
      <c r="I19" s="24">
        <f>SUM(JPMC!I19+GULSHAN!I19+NAZIMABAD!I19+'KHI CIVIL'!I19+KORANGI!I19)</f>
        <v>55</v>
      </c>
      <c r="J19" s="24">
        <f>SUM(JPMC!J19+GULSHAN!J19+NAZIMABAD!J19+'KHI CIVIL'!J19+KORANGI!J19)</f>
        <v>55</v>
      </c>
      <c r="K19" s="24">
        <f>SUM(JPMC!K19+GULSHAN!K19+NAZIMABAD!K19+'KHI CIVIL'!K19+KORANGI!K19)</f>
        <v>60</v>
      </c>
      <c r="L19" s="24">
        <f>SUM(JPMC!L19+GULSHAN!L19+NAZIMABAD!L19+'KHI CIVIL'!L19+KORANGI!L19)</f>
        <v>65</v>
      </c>
      <c r="M19" s="24">
        <f>SUM(JPMC!M19+GULSHAN!M19+NAZIMABAD!M19+'KHI CIVIL'!M19+KORANGI!M19)</f>
        <v>70</v>
      </c>
      <c r="N19" s="24">
        <f>SUM(JPMC!N19+GULSHAN!N19+NAZIMABAD!N19+'KHI CIVIL'!N19+KORANGI!N19)</f>
        <v>75</v>
      </c>
      <c r="O19" s="25">
        <f t="shared" si="0"/>
        <v>605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12"/>
      <c r="AB19" s="12"/>
      <c r="AC19" s="12"/>
      <c r="AD19" s="12"/>
      <c r="AE19" s="12"/>
      <c r="AF19" s="12"/>
      <c r="AG19" s="12"/>
    </row>
    <row r="20" spans="1:33" ht="28.15" customHeight="1" x14ac:dyDescent="0.5">
      <c r="A20" s="13" t="s">
        <v>31</v>
      </c>
      <c r="B20" s="15">
        <v>342.39</v>
      </c>
      <c r="C20" s="24">
        <f>SUM(JPMC!C20+GULSHAN!C20+NAZIMABAD!C20+'KHI CIVIL'!C20+KORANGI!C20)</f>
        <v>25</v>
      </c>
      <c r="D20" s="24">
        <f>SUM(JPMC!D20+GULSHAN!D20+NAZIMABAD!D20+'KHI CIVIL'!D20+KORANGI!D20)</f>
        <v>30</v>
      </c>
      <c r="E20" s="24">
        <f>SUM(JPMC!E20+GULSHAN!E20+NAZIMABAD!E20+'KHI CIVIL'!E20+KORANGI!E20)</f>
        <v>35</v>
      </c>
      <c r="F20" s="24">
        <f>SUM(JPMC!F20+GULSHAN!F20+NAZIMABAD!F20+'KHI CIVIL'!F20+KORANGI!F20)</f>
        <v>40</v>
      </c>
      <c r="G20" s="24">
        <f>SUM(JPMC!G20+GULSHAN!G20+NAZIMABAD!G20+'KHI CIVIL'!G20+KORANGI!G20)</f>
        <v>45</v>
      </c>
      <c r="H20" s="24">
        <f>SUM(JPMC!H20+GULSHAN!H20+NAZIMABAD!H20+'KHI CIVIL'!H20+KORANGI!H20)</f>
        <v>50</v>
      </c>
      <c r="I20" s="24">
        <f>SUM(JPMC!I20+GULSHAN!I20+NAZIMABAD!I20+'KHI CIVIL'!I20+KORANGI!I20)</f>
        <v>55</v>
      </c>
      <c r="J20" s="24">
        <f>SUM(JPMC!J20+GULSHAN!J20+NAZIMABAD!J20+'KHI CIVIL'!J20+KORANGI!J20)</f>
        <v>55</v>
      </c>
      <c r="K20" s="24">
        <f>SUM(JPMC!K20+GULSHAN!K20+NAZIMABAD!K20+'KHI CIVIL'!K20+KORANGI!K20)</f>
        <v>60</v>
      </c>
      <c r="L20" s="24">
        <f>SUM(JPMC!L20+GULSHAN!L20+NAZIMABAD!L20+'KHI CIVIL'!L20+KORANGI!L20)</f>
        <v>65</v>
      </c>
      <c r="M20" s="24">
        <f>SUM(JPMC!M20+GULSHAN!M20+NAZIMABAD!M20+'KHI CIVIL'!M20+KORANGI!M20)</f>
        <v>70</v>
      </c>
      <c r="N20" s="24">
        <f>SUM(JPMC!N20+GULSHAN!N20+NAZIMABAD!N20+'KHI CIVIL'!N20+KORANGI!N20)</f>
        <v>75</v>
      </c>
      <c r="O20" s="25">
        <f t="shared" si="0"/>
        <v>605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12"/>
      <c r="AB20" s="12"/>
      <c r="AC20" s="12"/>
      <c r="AD20" s="12"/>
      <c r="AE20" s="12"/>
      <c r="AF20" s="12"/>
      <c r="AG20" s="12"/>
    </row>
    <row r="21" spans="1:33" ht="28.15" customHeight="1" x14ac:dyDescent="0.5">
      <c r="A21" s="13" t="s">
        <v>32</v>
      </c>
      <c r="B21" s="15">
        <v>213.99</v>
      </c>
      <c r="C21" s="24">
        <f>SUM(JPMC!C21+GULSHAN!C21+NAZIMABAD!C21+'KHI CIVIL'!C21+KORANGI!C21)</f>
        <v>0</v>
      </c>
      <c r="D21" s="24">
        <f>SUM(JPMC!D21+GULSHAN!D21+NAZIMABAD!D21+'KHI CIVIL'!D21+KORANGI!D21)</f>
        <v>0</v>
      </c>
      <c r="E21" s="24">
        <f>SUM(JPMC!E21+GULSHAN!E21+NAZIMABAD!E21+'KHI CIVIL'!E21+KORANGI!E21)</f>
        <v>0</v>
      </c>
      <c r="F21" s="24">
        <f>SUM(JPMC!F21+GULSHAN!F21+NAZIMABAD!F21+'KHI CIVIL'!F21+KORANGI!F21)</f>
        <v>0</v>
      </c>
      <c r="G21" s="24">
        <f>SUM(JPMC!G21+GULSHAN!G21+NAZIMABAD!G21+'KHI CIVIL'!G21+KORANGI!G21)</f>
        <v>0</v>
      </c>
      <c r="H21" s="24">
        <f>SUM(JPMC!H21+GULSHAN!H21+NAZIMABAD!H21+'KHI CIVIL'!H21+KORANGI!H21)</f>
        <v>0</v>
      </c>
      <c r="I21" s="24">
        <f>SUM(JPMC!I21+GULSHAN!I21+NAZIMABAD!I21+'KHI CIVIL'!I21+KORANGI!I21)</f>
        <v>0</v>
      </c>
      <c r="J21" s="24">
        <f>SUM(JPMC!J21+GULSHAN!J21+NAZIMABAD!J21+'KHI CIVIL'!J21+KORANGI!J21)</f>
        <v>0</v>
      </c>
      <c r="K21" s="24">
        <f>SUM(JPMC!K21+GULSHAN!K21+NAZIMABAD!K21+'KHI CIVIL'!K21+KORANGI!K21)</f>
        <v>0</v>
      </c>
      <c r="L21" s="24">
        <f>SUM(JPMC!L21+GULSHAN!L21+NAZIMABAD!L21+'KHI CIVIL'!L21+KORANGI!L21)</f>
        <v>0</v>
      </c>
      <c r="M21" s="24">
        <f>SUM(JPMC!M21+GULSHAN!M21+NAZIMABAD!M21+'KHI CIVIL'!M21+KORANGI!M21)</f>
        <v>0</v>
      </c>
      <c r="N21" s="24">
        <f>SUM(JPMC!N21+GULSHAN!N21+NAZIMABAD!N21+'KHI CIVIL'!N21+KORANGI!N21)</f>
        <v>0</v>
      </c>
      <c r="O21" s="25">
        <f t="shared" si="0"/>
        <v>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12"/>
      <c r="AB21" s="12"/>
      <c r="AC21" s="12"/>
      <c r="AD21" s="12"/>
      <c r="AE21" s="12"/>
      <c r="AF21" s="12"/>
      <c r="AG21" s="12"/>
    </row>
    <row r="22" spans="1:33" ht="28.15" customHeight="1" x14ac:dyDescent="0.5">
      <c r="A22" s="16" t="s">
        <v>33</v>
      </c>
      <c r="B22" s="15">
        <v>1512.71</v>
      </c>
      <c r="C22" s="24">
        <f>SUM(JPMC!C22+GULSHAN!C22+NAZIMABAD!C22+'KHI CIVIL'!C22+KORANGI!C22)</f>
        <v>74</v>
      </c>
      <c r="D22" s="24">
        <f>SUM(JPMC!D22+GULSHAN!D22+NAZIMABAD!D22+'KHI CIVIL'!D22+KORANGI!D22)</f>
        <v>80</v>
      </c>
      <c r="E22" s="24">
        <f>SUM(JPMC!E22+GULSHAN!E22+NAZIMABAD!E22+'KHI CIVIL'!E22+KORANGI!E22)</f>
        <v>86</v>
      </c>
      <c r="F22" s="24">
        <f>SUM(JPMC!F22+GULSHAN!F22+NAZIMABAD!F22+'KHI CIVIL'!F22+KORANGI!F22)</f>
        <v>92</v>
      </c>
      <c r="G22" s="24">
        <f>SUM(JPMC!G22+GULSHAN!G22+NAZIMABAD!G22+'KHI CIVIL'!G22+KORANGI!G22)</f>
        <v>98</v>
      </c>
      <c r="H22" s="24">
        <f>SUM(JPMC!H22+GULSHAN!H22+NAZIMABAD!H22+'KHI CIVIL'!H22+KORANGI!H22)</f>
        <v>104</v>
      </c>
      <c r="I22" s="24">
        <f>SUM(JPMC!I22+GULSHAN!I22+NAZIMABAD!I22+'KHI CIVIL'!I22+KORANGI!I22)</f>
        <v>110</v>
      </c>
      <c r="J22" s="24">
        <f>SUM(JPMC!J22+GULSHAN!J22+NAZIMABAD!J22+'KHI CIVIL'!J22+KORANGI!J22)</f>
        <v>110</v>
      </c>
      <c r="K22" s="24">
        <f>SUM(JPMC!K22+GULSHAN!K22+NAZIMABAD!K22+'KHI CIVIL'!K22+KORANGI!K22)</f>
        <v>116</v>
      </c>
      <c r="L22" s="24">
        <f>SUM(JPMC!L22+GULSHAN!L22+NAZIMABAD!L22+'KHI CIVIL'!L22+KORANGI!L22)</f>
        <v>122</v>
      </c>
      <c r="M22" s="24">
        <f>SUM(JPMC!M22+GULSHAN!M22+NAZIMABAD!M22+'KHI CIVIL'!M22+KORANGI!M22)</f>
        <v>128</v>
      </c>
      <c r="N22" s="24">
        <f>SUM(JPMC!N22+GULSHAN!N22+NAZIMABAD!N22+'KHI CIVIL'!N22+KORANGI!N22)</f>
        <v>134</v>
      </c>
      <c r="O22" s="25">
        <f t="shared" si="0"/>
        <v>1254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2"/>
      <c r="AB22" s="12"/>
      <c r="AC22" s="12"/>
      <c r="AD22" s="12"/>
      <c r="AE22" s="12"/>
      <c r="AF22" s="12"/>
      <c r="AG22" s="12"/>
    </row>
    <row r="23" spans="1:33" ht="28.15" customHeight="1" x14ac:dyDescent="0.5">
      <c r="A23" s="13" t="s">
        <v>34</v>
      </c>
      <c r="B23" s="14">
        <v>573.75</v>
      </c>
      <c r="C23" s="24">
        <f>SUM(JPMC!C23+GULSHAN!C23+NAZIMABAD!C23+'KHI CIVIL'!C23+KORANGI!C23)</f>
        <v>75</v>
      </c>
      <c r="D23" s="24">
        <f>SUM(JPMC!D23+GULSHAN!D23+NAZIMABAD!D23+'KHI CIVIL'!D23+KORANGI!D23)</f>
        <v>82</v>
      </c>
      <c r="E23" s="24">
        <f>SUM(JPMC!E23+GULSHAN!E23+NAZIMABAD!E23+'KHI CIVIL'!E23+KORANGI!E23)</f>
        <v>89</v>
      </c>
      <c r="F23" s="24">
        <f>SUM(JPMC!F23+GULSHAN!F23+NAZIMABAD!F23+'KHI CIVIL'!F23+KORANGI!F23)</f>
        <v>96</v>
      </c>
      <c r="G23" s="24">
        <f>SUM(JPMC!G23+GULSHAN!G23+NAZIMABAD!G23+'KHI CIVIL'!G23+KORANGI!G23)</f>
        <v>103</v>
      </c>
      <c r="H23" s="24">
        <f>SUM(JPMC!H23+GULSHAN!H23+NAZIMABAD!H23+'KHI CIVIL'!H23+KORANGI!H23)</f>
        <v>110</v>
      </c>
      <c r="I23" s="24">
        <f>SUM(JPMC!I23+GULSHAN!I23+NAZIMABAD!I23+'KHI CIVIL'!I23+KORANGI!I23)</f>
        <v>117</v>
      </c>
      <c r="J23" s="24">
        <f>SUM(JPMC!J23+GULSHAN!J23+NAZIMABAD!J23+'KHI CIVIL'!J23+KORANGI!J23)</f>
        <v>117</v>
      </c>
      <c r="K23" s="24">
        <f>SUM(JPMC!K23+GULSHAN!K23+NAZIMABAD!K23+'KHI CIVIL'!K23+KORANGI!K23)</f>
        <v>124</v>
      </c>
      <c r="L23" s="24">
        <f>SUM(JPMC!L23+GULSHAN!L23+NAZIMABAD!L23+'KHI CIVIL'!L23+KORANGI!L23)</f>
        <v>131</v>
      </c>
      <c r="M23" s="24">
        <f>SUM(JPMC!M23+GULSHAN!M23+NAZIMABAD!M23+'KHI CIVIL'!M23+KORANGI!M23)</f>
        <v>138</v>
      </c>
      <c r="N23" s="24">
        <f>SUM(JPMC!N23+GULSHAN!N23+NAZIMABAD!N23+'KHI CIVIL'!N23+KORANGI!N23)</f>
        <v>145</v>
      </c>
      <c r="O23" s="25">
        <f t="shared" si="0"/>
        <v>1327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2"/>
      <c r="AB23" s="12"/>
      <c r="AC23" s="12"/>
      <c r="AD23" s="12"/>
      <c r="AE23" s="12"/>
      <c r="AF23" s="12"/>
      <c r="AG23" s="12"/>
    </row>
    <row r="24" spans="1:33" ht="28.15" customHeight="1" x14ac:dyDescent="0.5">
      <c r="A24" s="13" t="s">
        <v>35</v>
      </c>
      <c r="B24" s="14">
        <v>979.29</v>
      </c>
      <c r="C24" s="24">
        <f>SUM(JPMC!C24+GULSHAN!C24+NAZIMABAD!C24+'KHI CIVIL'!C24+KORANGI!C24)</f>
        <v>59</v>
      </c>
      <c r="D24" s="24">
        <f>SUM(JPMC!D24+GULSHAN!D24+NAZIMABAD!D24+'KHI CIVIL'!D24+KORANGI!D24)</f>
        <v>65</v>
      </c>
      <c r="E24" s="24">
        <f>SUM(JPMC!E24+GULSHAN!E24+NAZIMABAD!E24+'KHI CIVIL'!E24+KORANGI!E24)</f>
        <v>71</v>
      </c>
      <c r="F24" s="24">
        <f>SUM(JPMC!F24+GULSHAN!F24+NAZIMABAD!F24+'KHI CIVIL'!F24+KORANGI!F24)</f>
        <v>77</v>
      </c>
      <c r="G24" s="24">
        <f>SUM(JPMC!G24+GULSHAN!G24+NAZIMABAD!G24+'KHI CIVIL'!G24+KORANGI!G24)</f>
        <v>83</v>
      </c>
      <c r="H24" s="24">
        <f>SUM(JPMC!H24+GULSHAN!H24+NAZIMABAD!H24+'KHI CIVIL'!H24+KORANGI!H24)</f>
        <v>89</v>
      </c>
      <c r="I24" s="24">
        <f>SUM(JPMC!I24+GULSHAN!I24+NAZIMABAD!I24+'KHI CIVIL'!I24+KORANGI!I24)</f>
        <v>95</v>
      </c>
      <c r="J24" s="24">
        <f>SUM(JPMC!J24+GULSHAN!J24+NAZIMABAD!J24+'KHI CIVIL'!J24+KORANGI!J24)</f>
        <v>95</v>
      </c>
      <c r="K24" s="24">
        <f>SUM(JPMC!K24+GULSHAN!K24+NAZIMABAD!K24+'KHI CIVIL'!K24+KORANGI!K24)</f>
        <v>101</v>
      </c>
      <c r="L24" s="24">
        <f>SUM(JPMC!L24+GULSHAN!L24+NAZIMABAD!L24+'KHI CIVIL'!L24+KORANGI!L24)</f>
        <v>107</v>
      </c>
      <c r="M24" s="24">
        <f>SUM(JPMC!M24+GULSHAN!M24+NAZIMABAD!M24+'KHI CIVIL'!M24+KORANGI!M24)</f>
        <v>113</v>
      </c>
      <c r="N24" s="24">
        <f>SUM(JPMC!N24+GULSHAN!N24+NAZIMABAD!N24+'KHI CIVIL'!N24+KORANGI!N24)</f>
        <v>119</v>
      </c>
      <c r="O24" s="25">
        <f t="shared" si="0"/>
        <v>1074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2"/>
      <c r="AB24" s="12"/>
      <c r="AC24" s="12"/>
      <c r="AD24" s="12"/>
      <c r="AE24" s="12"/>
      <c r="AF24" s="12"/>
      <c r="AG24" s="12"/>
    </row>
    <row r="25" spans="1:33" ht="28.15" customHeight="1" x14ac:dyDescent="0.5">
      <c r="A25" s="13" t="s">
        <v>36</v>
      </c>
      <c r="B25" s="14">
        <v>491.78</v>
      </c>
      <c r="C25" s="24">
        <f>SUM(JPMC!C25+GULSHAN!C25+NAZIMABAD!C25+'KHI CIVIL'!C25+KORANGI!C25)</f>
        <v>100</v>
      </c>
      <c r="D25" s="24">
        <f>SUM(JPMC!D25+GULSHAN!D25+NAZIMABAD!D25+'KHI CIVIL'!D25+KORANGI!D25)</f>
        <v>110</v>
      </c>
      <c r="E25" s="24">
        <f>SUM(JPMC!E25+GULSHAN!E25+NAZIMABAD!E25+'KHI CIVIL'!E25+KORANGI!E25)</f>
        <v>120</v>
      </c>
      <c r="F25" s="24">
        <f>SUM(JPMC!F25+GULSHAN!F25+NAZIMABAD!F25+'KHI CIVIL'!F25+KORANGI!F25)</f>
        <v>130</v>
      </c>
      <c r="G25" s="24">
        <f>SUM(JPMC!G25+GULSHAN!G25+NAZIMABAD!G25+'KHI CIVIL'!G25+KORANGI!G25)</f>
        <v>140</v>
      </c>
      <c r="H25" s="24">
        <f>SUM(JPMC!H25+GULSHAN!H25+NAZIMABAD!H25+'KHI CIVIL'!H25+KORANGI!H25)</f>
        <v>150</v>
      </c>
      <c r="I25" s="24">
        <f>SUM(JPMC!I25+GULSHAN!I25+NAZIMABAD!I25+'KHI CIVIL'!I25+KORANGI!I25)</f>
        <v>160</v>
      </c>
      <c r="J25" s="24">
        <f>SUM(JPMC!J25+GULSHAN!J25+NAZIMABAD!J25+'KHI CIVIL'!J25+KORANGI!J25)</f>
        <v>160</v>
      </c>
      <c r="K25" s="24">
        <f>SUM(JPMC!K25+GULSHAN!K25+NAZIMABAD!K25+'KHI CIVIL'!K25+KORANGI!K25)</f>
        <v>170</v>
      </c>
      <c r="L25" s="24">
        <f>SUM(JPMC!L25+GULSHAN!L25+NAZIMABAD!L25+'KHI CIVIL'!L25+KORANGI!L25)</f>
        <v>180</v>
      </c>
      <c r="M25" s="24">
        <f>SUM(JPMC!M25+GULSHAN!M25+NAZIMABAD!M25+'KHI CIVIL'!M25+KORANGI!M25)</f>
        <v>190</v>
      </c>
      <c r="N25" s="24">
        <f>SUM(JPMC!N25+GULSHAN!N25+NAZIMABAD!N25+'KHI CIVIL'!N25+KORANGI!N25)</f>
        <v>200</v>
      </c>
      <c r="O25" s="25">
        <f t="shared" si="0"/>
        <v>1810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2"/>
      <c r="AB25" s="12"/>
      <c r="AC25" s="12"/>
      <c r="AD25" s="12"/>
      <c r="AE25" s="12"/>
      <c r="AF25" s="12"/>
      <c r="AG25" s="12"/>
    </row>
    <row r="26" spans="1:33" ht="28.15" customHeight="1" x14ac:dyDescent="0.5">
      <c r="A26" s="13" t="s">
        <v>37</v>
      </c>
      <c r="B26" s="14">
        <v>589.74</v>
      </c>
      <c r="C26" s="24">
        <f>SUM(JPMC!C26+GULSHAN!C26+NAZIMABAD!C26+'KHI CIVIL'!C26+KORANGI!C26)</f>
        <v>50</v>
      </c>
      <c r="D26" s="24">
        <f>SUM(JPMC!D26+GULSHAN!D26+NAZIMABAD!D26+'KHI CIVIL'!D26+KORANGI!D26)</f>
        <v>60</v>
      </c>
      <c r="E26" s="24">
        <f>SUM(JPMC!E26+GULSHAN!E26+NAZIMABAD!E26+'KHI CIVIL'!E26+KORANGI!E26)</f>
        <v>70</v>
      </c>
      <c r="F26" s="24">
        <f>SUM(JPMC!F26+GULSHAN!F26+NAZIMABAD!F26+'KHI CIVIL'!F26+KORANGI!F26)</f>
        <v>80</v>
      </c>
      <c r="G26" s="24">
        <f>SUM(JPMC!G26+GULSHAN!G26+NAZIMABAD!G26+'KHI CIVIL'!G26+KORANGI!G26)</f>
        <v>90</v>
      </c>
      <c r="H26" s="24">
        <f>SUM(JPMC!H26+GULSHAN!H26+NAZIMABAD!H26+'KHI CIVIL'!H26+KORANGI!H26)</f>
        <v>100</v>
      </c>
      <c r="I26" s="24">
        <f>SUM(JPMC!I26+GULSHAN!I26+NAZIMABAD!I26+'KHI CIVIL'!I26+KORANGI!I26)</f>
        <v>110</v>
      </c>
      <c r="J26" s="24">
        <f>SUM(JPMC!J26+GULSHAN!J26+NAZIMABAD!J26+'KHI CIVIL'!J26+KORANGI!J26)</f>
        <v>110</v>
      </c>
      <c r="K26" s="24">
        <f>SUM(JPMC!K26+GULSHAN!K26+NAZIMABAD!K26+'KHI CIVIL'!K26+KORANGI!K26)</f>
        <v>120</v>
      </c>
      <c r="L26" s="24">
        <f>SUM(JPMC!L26+GULSHAN!L26+NAZIMABAD!L26+'KHI CIVIL'!L26+KORANGI!L26)</f>
        <v>130</v>
      </c>
      <c r="M26" s="24">
        <f>SUM(JPMC!M26+GULSHAN!M26+NAZIMABAD!M26+'KHI CIVIL'!M26+KORANGI!M26)</f>
        <v>140</v>
      </c>
      <c r="N26" s="24">
        <f>SUM(JPMC!N26+GULSHAN!N26+NAZIMABAD!N26+'KHI CIVIL'!N26+KORANGI!N26)</f>
        <v>150</v>
      </c>
      <c r="O26" s="25">
        <f t="shared" si="0"/>
        <v>1210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33" ht="28.15" customHeight="1" x14ac:dyDescent="0.5">
      <c r="A27" s="16" t="s">
        <v>38</v>
      </c>
      <c r="B27" s="15">
        <v>198</v>
      </c>
      <c r="C27" s="24">
        <f>SUM(JPMC!C27+GULSHAN!C27+NAZIMABAD!C27+'KHI CIVIL'!C27+KORANGI!C27)</f>
        <v>500</v>
      </c>
      <c r="D27" s="24">
        <f>SUM(JPMC!D27+GULSHAN!D27+NAZIMABAD!D27+'KHI CIVIL'!D27+KORANGI!D27)</f>
        <v>510</v>
      </c>
      <c r="E27" s="24">
        <f>SUM(JPMC!E27+GULSHAN!E27+NAZIMABAD!E27+'KHI CIVIL'!E27+KORANGI!E27)</f>
        <v>520</v>
      </c>
      <c r="F27" s="24">
        <f>SUM(JPMC!F27+GULSHAN!F27+NAZIMABAD!F27+'KHI CIVIL'!F27+KORANGI!F27)</f>
        <v>530</v>
      </c>
      <c r="G27" s="24">
        <f>SUM(JPMC!G27+GULSHAN!G27+NAZIMABAD!G27+'KHI CIVIL'!G27+KORANGI!G27)</f>
        <v>540</v>
      </c>
      <c r="H27" s="24">
        <f>SUM(JPMC!H27+GULSHAN!H27+NAZIMABAD!H27+'KHI CIVIL'!H27+KORANGI!H27)</f>
        <v>550</v>
      </c>
      <c r="I27" s="24">
        <f>SUM(JPMC!I27+GULSHAN!I27+NAZIMABAD!I27+'KHI CIVIL'!I27+KORANGI!I27)</f>
        <v>560</v>
      </c>
      <c r="J27" s="24">
        <f>SUM(JPMC!J27+GULSHAN!J27+NAZIMABAD!J27+'KHI CIVIL'!J27+KORANGI!J27)</f>
        <v>560</v>
      </c>
      <c r="K27" s="24">
        <f>SUM(JPMC!K27+GULSHAN!K27+NAZIMABAD!K27+'KHI CIVIL'!K27+KORANGI!K27)</f>
        <v>570</v>
      </c>
      <c r="L27" s="24">
        <f>SUM(JPMC!L27+GULSHAN!L27+NAZIMABAD!L27+'KHI CIVIL'!L27+KORANGI!L27)</f>
        <v>580</v>
      </c>
      <c r="M27" s="24">
        <f>SUM(JPMC!M27+GULSHAN!M27+NAZIMABAD!M27+'KHI CIVIL'!M27+KORANGI!M27)</f>
        <v>590</v>
      </c>
      <c r="N27" s="24">
        <f>SUM(JPMC!N27+GULSHAN!N27+NAZIMABAD!N27+'KHI CIVIL'!N27+KORANGI!N27)</f>
        <v>600</v>
      </c>
      <c r="O27" s="25">
        <f t="shared" si="0"/>
        <v>6610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33" ht="28.15" customHeight="1" x14ac:dyDescent="0.5">
      <c r="A28" s="17" t="s">
        <v>39</v>
      </c>
      <c r="B28" s="18"/>
      <c r="C28" s="24">
        <f>SUM(JPMC!C28+GULSHAN!C28+NAZIMABAD!C28+'KHI CIVIL'!C28+KORANGI!C28+KPH!C28)</f>
        <v>0</v>
      </c>
      <c r="D28" s="24">
        <f>SUM(JPMC!D28+GULSHAN!D28+NAZIMABAD!D28+'KHI CIVIL'!D28+KORANGI!D28+KPH!D28)</f>
        <v>0</v>
      </c>
      <c r="E28" s="24">
        <f>SUM(JPMC!E28+GULSHAN!E28+NAZIMABAD!E28+'KHI CIVIL'!E28+KORANGI!E28+KPH!E28)</f>
        <v>0</v>
      </c>
      <c r="F28" s="24">
        <f>SUM(JPMC!F28+GULSHAN!F28+NAZIMABAD!F28+'KHI CIVIL'!F28+KORANGI!F28+KPH!F28)</f>
        <v>0</v>
      </c>
      <c r="G28" s="24">
        <f>SUM(JPMC!G28+GULSHAN!G28+NAZIMABAD!G28+'KHI CIVIL'!G28+KORANGI!G28+KPH!G28)</f>
        <v>0</v>
      </c>
      <c r="H28" s="24">
        <f>SUM(JPMC!H28+GULSHAN!H28+NAZIMABAD!H28+'KHI CIVIL'!H28+KORANGI!H28+KPH!H28)</f>
        <v>0</v>
      </c>
      <c r="I28" s="24">
        <f>SUM(JPMC!I28+GULSHAN!I28+NAZIMABAD!I28+'KHI CIVIL'!I28+KORANGI!I28+KPH!I28)</f>
        <v>0</v>
      </c>
      <c r="J28" s="24">
        <f>SUM(JPMC!J28+GULSHAN!J28+NAZIMABAD!J28+'KHI CIVIL'!J28+KORANGI!J28+KPH!J28)</f>
        <v>0</v>
      </c>
      <c r="K28" s="24">
        <f>SUM(JPMC!K28+GULSHAN!K28+NAZIMABAD!K28+'KHI CIVIL'!K28+KORANGI!K28+KPH!K28)</f>
        <v>0</v>
      </c>
      <c r="L28" s="24">
        <f>SUM(JPMC!L28+GULSHAN!L28+NAZIMABAD!L28+'KHI CIVIL'!L28+KORANGI!L28+KPH!L28)</f>
        <v>0</v>
      </c>
      <c r="M28" s="24">
        <f>SUM(JPMC!M28+GULSHAN!M28+NAZIMABAD!M28+'KHI CIVIL'!M28+KORANGI!M28+KPH!M28)</f>
        <v>0</v>
      </c>
      <c r="N28" s="24">
        <f>SUM(JPMC!N28+GULSHAN!N28+NAZIMABAD!N28+'KHI CIVIL'!N28+KORANGI!N28+KPH!N28)</f>
        <v>0</v>
      </c>
      <c r="O28" s="25">
        <f t="shared" si="0"/>
        <v>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33" ht="28.15" customHeight="1" x14ac:dyDescent="0.5">
      <c r="A29" s="17" t="s">
        <v>40</v>
      </c>
      <c r="B29" s="18"/>
      <c r="C29" s="24">
        <f>SUM(JPMC!C29+GULSHAN!C29+NAZIMABAD!C29+'KHI CIVIL'!C29+KORANGI!C29+KPH!C29)</f>
        <v>0</v>
      </c>
      <c r="D29" s="24">
        <f>SUM(JPMC!D29+GULSHAN!D29+NAZIMABAD!D29+'KHI CIVIL'!D29+KORANGI!D29+KPH!D29)</f>
        <v>0</v>
      </c>
      <c r="E29" s="24">
        <f>SUM(JPMC!E29+GULSHAN!E29+NAZIMABAD!E29+'KHI CIVIL'!E29+KORANGI!E29+KPH!E29)</f>
        <v>0</v>
      </c>
      <c r="F29" s="24">
        <f>SUM(JPMC!F29+GULSHAN!F29+NAZIMABAD!F29+'KHI CIVIL'!F29+KORANGI!F29+KPH!F29)</f>
        <v>0</v>
      </c>
      <c r="G29" s="24">
        <f>SUM(JPMC!G29+GULSHAN!G29+NAZIMABAD!G29+'KHI CIVIL'!G29+KORANGI!G29+KPH!G29)</f>
        <v>0</v>
      </c>
      <c r="H29" s="24">
        <f>SUM(JPMC!H29+GULSHAN!H29+NAZIMABAD!H29+'KHI CIVIL'!H29+KORANGI!H29+KPH!H29)</f>
        <v>0</v>
      </c>
      <c r="I29" s="24">
        <f>SUM(JPMC!I29+GULSHAN!I29+NAZIMABAD!I29+'KHI CIVIL'!I29+KORANGI!I29+KPH!I29)</f>
        <v>0</v>
      </c>
      <c r="J29" s="24">
        <f>SUM(JPMC!J29+GULSHAN!J29+NAZIMABAD!J29+'KHI CIVIL'!J29+KORANGI!J29+KPH!J29)</f>
        <v>0</v>
      </c>
      <c r="K29" s="24">
        <f>SUM(JPMC!K29+GULSHAN!K29+NAZIMABAD!K29+'KHI CIVIL'!K29+KORANGI!K29+KPH!K29)</f>
        <v>0</v>
      </c>
      <c r="L29" s="24">
        <f>SUM(JPMC!L29+GULSHAN!L29+NAZIMABAD!L29+'KHI CIVIL'!L29+KORANGI!L29+KPH!L29)</f>
        <v>0</v>
      </c>
      <c r="M29" s="24">
        <f>SUM(JPMC!M29+GULSHAN!M29+NAZIMABAD!M29+'KHI CIVIL'!M29+KORANGI!M29+KPH!M29)</f>
        <v>0</v>
      </c>
      <c r="N29" s="24">
        <f>SUM(JPMC!N29+GULSHAN!N29+NAZIMABAD!N29+'KHI CIVIL'!N29+KORANGI!N29+KPH!N29)</f>
        <v>0</v>
      </c>
      <c r="O29" s="25">
        <f t="shared" si="0"/>
        <v>0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33" ht="28.15" customHeight="1" x14ac:dyDescent="0.5">
      <c r="A30" s="17" t="s">
        <v>41</v>
      </c>
      <c r="B30" s="18"/>
      <c r="C30" s="24">
        <f>SUM(JPMC!C30+GULSHAN!C30+NAZIMABAD!C30+'KHI CIVIL'!C30+KORANGI!C30+KPH!C30)</f>
        <v>0</v>
      </c>
      <c r="D30" s="24">
        <f>SUM(JPMC!D30+GULSHAN!D30+NAZIMABAD!D30+'KHI CIVIL'!D30+KORANGI!D30+KPH!D30)</f>
        <v>0</v>
      </c>
      <c r="E30" s="24">
        <f>SUM(JPMC!E30+GULSHAN!E30+NAZIMABAD!E30+'KHI CIVIL'!E30+KORANGI!E30+KPH!E30)</f>
        <v>0</v>
      </c>
      <c r="F30" s="24">
        <f>SUM(JPMC!F30+GULSHAN!F30+NAZIMABAD!F30+'KHI CIVIL'!F30+KORANGI!F30+KPH!F30)</f>
        <v>0</v>
      </c>
      <c r="G30" s="24">
        <f>SUM(JPMC!G30+GULSHAN!G30+NAZIMABAD!G30+'KHI CIVIL'!G30+KORANGI!G30+KPH!G30)</f>
        <v>0</v>
      </c>
      <c r="H30" s="24">
        <f>SUM(JPMC!H30+GULSHAN!H30+NAZIMABAD!H30+'KHI CIVIL'!H30+KORANGI!H30+KPH!H30)</f>
        <v>0</v>
      </c>
      <c r="I30" s="24">
        <f>SUM(JPMC!I30+GULSHAN!I30+NAZIMABAD!I30+'KHI CIVIL'!I30+KORANGI!I30+KPH!I30)</f>
        <v>0</v>
      </c>
      <c r="J30" s="24">
        <f>SUM(JPMC!J30+GULSHAN!J30+NAZIMABAD!J30+'KHI CIVIL'!J30+KORANGI!J30+KPH!J30)</f>
        <v>0</v>
      </c>
      <c r="K30" s="24">
        <f>SUM(JPMC!K30+GULSHAN!K30+NAZIMABAD!K30+'KHI CIVIL'!K30+KORANGI!K30+KPH!K30)</f>
        <v>0</v>
      </c>
      <c r="L30" s="24">
        <f>SUM(JPMC!L30+GULSHAN!L30+NAZIMABAD!L30+'KHI CIVIL'!L30+KORANGI!L30+KPH!L30)</f>
        <v>0</v>
      </c>
      <c r="M30" s="24">
        <f>SUM(JPMC!M30+GULSHAN!M30+NAZIMABAD!M30+'KHI CIVIL'!M30+KORANGI!M30+KPH!M30)</f>
        <v>0</v>
      </c>
      <c r="N30" s="24">
        <f>SUM(JPMC!N30+GULSHAN!N30+NAZIMABAD!N30+'KHI CIVIL'!N30+KORANGI!N30+KPH!N30)</f>
        <v>0</v>
      </c>
      <c r="O30" s="25">
        <f t="shared" si="0"/>
        <v>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33" ht="28.15" customHeight="1" x14ac:dyDescent="0.5">
      <c r="A31" s="17" t="s">
        <v>42</v>
      </c>
      <c r="B31" s="18"/>
      <c r="C31" s="24">
        <f>SUM(JPMC!C31+GULSHAN!C31+NAZIMABAD!C31+'KHI CIVIL'!C31+KORANGI!C31+KPH!C31)</f>
        <v>0</v>
      </c>
      <c r="D31" s="24">
        <f>SUM(JPMC!D31+GULSHAN!D31+NAZIMABAD!D31+'KHI CIVIL'!D31+KORANGI!D31+KPH!D31)</f>
        <v>0</v>
      </c>
      <c r="E31" s="24">
        <f>SUM(JPMC!E31+GULSHAN!E31+NAZIMABAD!E31+'KHI CIVIL'!E31+KORANGI!E31+KPH!E31)</f>
        <v>0</v>
      </c>
      <c r="F31" s="24">
        <f>SUM(JPMC!F31+GULSHAN!F31+NAZIMABAD!F31+'KHI CIVIL'!F31+KORANGI!F31+KPH!F31)</f>
        <v>0</v>
      </c>
      <c r="G31" s="24">
        <f>SUM(JPMC!G31+GULSHAN!G31+NAZIMABAD!G31+'KHI CIVIL'!G31+KORANGI!G31+KPH!G31)</f>
        <v>0</v>
      </c>
      <c r="H31" s="24">
        <f>SUM(JPMC!H31+GULSHAN!H31+NAZIMABAD!H31+'KHI CIVIL'!H31+KORANGI!H31+KPH!H31)</f>
        <v>0</v>
      </c>
      <c r="I31" s="24">
        <f>SUM(JPMC!I31+GULSHAN!I31+NAZIMABAD!I31+'KHI CIVIL'!I31+KORANGI!I31+KPH!I31)</f>
        <v>0</v>
      </c>
      <c r="J31" s="24">
        <f>SUM(JPMC!J31+GULSHAN!J31+NAZIMABAD!J31+'KHI CIVIL'!J31+KORANGI!J31+KPH!J31)</f>
        <v>0</v>
      </c>
      <c r="K31" s="24">
        <f>SUM(JPMC!K31+GULSHAN!K31+NAZIMABAD!K31+'KHI CIVIL'!K31+KORANGI!K31+KPH!K31)</f>
        <v>0</v>
      </c>
      <c r="L31" s="24">
        <f>SUM(JPMC!L31+GULSHAN!L31+NAZIMABAD!L31+'KHI CIVIL'!L31+KORANGI!L31+KPH!L31)</f>
        <v>0</v>
      </c>
      <c r="M31" s="24">
        <f>SUM(JPMC!M31+GULSHAN!M31+NAZIMABAD!M31+'KHI CIVIL'!M31+KORANGI!M31+KPH!M31)</f>
        <v>0</v>
      </c>
      <c r="N31" s="24">
        <f>SUM(JPMC!N31+GULSHAN!N31+NAZIMABAD!N31+'KHI CIVIL'!N31+KORANGI!N31+KPH!N31)</f>
        <v>0</v>
      </c>
      <c r="O31" s="25">
        <f t="shared" si="0"/>
        <v>0</v>
      </c>
      <c r="P31" s="6">
        <f t="shared" ref="P31:Z31" si="1">D31-C31</f>
        <v>0</v>
      </c>
      <c r="Q31" s="6">
        <f t="shared" si="1"/>
        <v>0</v>
      </c>
      <c r="R31" s="6">
        <f t="shared" si="1"/>
        <v>0</v>
      </c>
      <c r="S31" s="6">
        <f t="shared" si="1"/>
        <v>0</v>
      </c>
      <c r="T31" s="6">
        <f t="shared" si="1"/>
        <v>0</v>
      </c>
      <c r="U31" s="6">
        <f t="shared" si="1"/>
        <v>0</v>
      </c>
      <c r="V31" s="6">
        <f t="shared" si="1"/>
        <v>0</v>
      </c>
      <c r="W31" s="6">
        <f t="shared" si="1"/>
        <v>0</v>
      </c>
      <c r="X31" s="6">
        <f t="shared" si="1"/>
        <v>0</v>
      </c>
      <c r="Y31" s="6">
        <f t="shared" si="1"/>
        <v>0</v>
      </c>
      <c r="Z31" s="6">
        <f t="shared" si="1"/>
        <v>0</v>
      </c>
    </row>
    <row r="32" spans="1:33" ht="28.15" customHeight="1" thickBot="1" x14ac:dyDescent="0.55000000000000004">
      <c r="A32" s="17" t="s">
        <v>43</v>
      </c>
      <c r="B32" s="31"/>
      <c r="C32" s="24">
        <f>SUM(JPMC!C32+GULSHAN!C32+NAZIMABAD!C32+'KHI CIVIL'!C32+KORANGI!C32+KPH!C32)</f>
        <v>0</v>
      </c>
      <c r="D32" s="24">
        <f>SUM(JPMC!D32+GULSHAN!D32+NAZIMABAD!D32+'KHI CIVIL'!D32+KORANGI!D32+KPH!D32)</f>
        <v>0</v>
      </c>
      <c r="E32" s="24">
        <f>SUM(JPMC!E32+GULSHAN!E32+NAZIMABAD!E32+'KHI CIVIL'!E32+KORANGI!E32+KPH!E32)</f>
        <v>0</v>
      </c>
      <c r="F32" s="24">
        <f>SUM(JPMC!F32+GULSHAN!F32+NAZIMABAD!F32+'KHI CIVIL'!F32+KORANGI!F32+KPH!F32)</f>
        <v>0</v>
      </c>
      <c r="G32" s="24">
        <f>SUM(JPMC!G32+GULSHAN!G32+NAZIMABAD!G32+'KHI CIVIL'!G32+KORANGI!G32+KPH!G32)</f>
        <v>0</v>
      </c>
      <c r="H32" s="24">
        <f>SUM(JPMC!H32+GULSHAN!H32+NAZIMABAD!H32+'KHI CIVIL'!H32+KORANGI!H32+KPH!H32)</f>
        <v>0</v>
      </c>
      <c r="I32" s="24">
        <f>SUM(JPMC!I32+GULSHAN!I32+NAZIMABAD!I32+'KHI CIVIL'!I32+KORANGI!I32+KPH!I32)</f>
        <v>0</v>
      </c>
      <c r="J32" s="24">
        <f>SUM(JPMC!J32+GULSHAN!J32+NAZIMABAD!J32+'KHI CIVIL'!J32+KORANGI!J32+KPH!J32)</f>
        <v>0</v>
      </c>
      <c r="K32" s="24">
        <f>SUM(JPMC!K32+GULSHAN!K32+NAZIMABAD!K32+'KHI CIVIL'!K32+KORANGI!K32+KPH!K32)</f>
        <v>0</v>
      </c>
      <c r="L32" s="24">
        <f>SUM(JPMC!L32+GULSHAN!L32+NAZIMABAD!L32+'KHI CIVIL'!L32+KORANGI!L32+KPH!L32)</f>
        <v>0</v>
      </c>
      <c r="M32" s="24">
        <f>SUM(JPMC!M32+GULSHAN!M32+NAZIMABAD!M32+'KHI CIVIL'!M32+KORANGI!M32+KPH!M32)</f>
        <v>0</v>
      </c>
      <c r="N32" s="24">
        <f>SUM(JPMC!N32+GULSHAN!N32+NAZIMABAD!N32+'KHI CIVIL'!N32+KORANGI!N32+KPH!N32)</f>
        <v>0</v>
      </c>
      <c r="O32" s="25">
        <f t="shared" si="0"/>
        <v>0</v>
      </c>
    </row>
    <row r="33" spans="1:15" ht="26.25" customHeight="1" thickTop="1" thickBot="1" x14ac:dyDescent="0.4">
      <c r="A33" s="41" t="s">
        <v>44</v>
      </c>
      <c r="B33" s="37"/>
      <c r="C33" s="38">
        <f t="shared" ref="C33:O33" si="2">SUMPRODUCT($B$5:$B$32,C5:C32)</f>
        <v>2870410.78</v>
      </c>
      <c r="D33" s="38">
        <f t="shared" si="2"/>
        <v>2996548.96</v>
      </c>
      <c r="E33" s="38">
        <f t="shared" si="2"/>
        <v>3122687.14</v>
      </c>
      <c r="F33" s="38">
        <f t="shared" si="2"/>
        <v>3248825.32</v>
      </c>
      <c r="G33" s="38">
        <f t="shared" si="2"/>
        <v>3374963.4999999995</v>
      </c>
      <c r="H33" s="38">
        <f t="shared" si="2"/>
        <v>3501101.6799999997</v>
      </c>
      <c r="I33" s="38">
        <f t="shared" si="2"/>
        <v>3627239.86</v>
      </c>
      <c r="J33" s="38">
        <f t="shared" si="2"/>
        <v>3627239.86</v>
      </c>
      <c r="K33" s="38">
        <f t="shared" si="2"/>
        <v>3753378.0399999996</v>
      </c>
      <c r="L33" s="38">
        <f t="shared" si="2"/>
        <v>3879516.22</v>
      </c>
      <c r="M33" s="38">
        <f t="shared" si="2"/>
        <v>4005654.4</v>
      </c>
      <c r="N33" s="39">
        <f t="shared" si="2"/>
        <v>4131792.58</v>
      </c>
      <c r="O33" s="40">
        <f t="shared" si="2"/>
        <v>42139358.340000004</v>
      </c>
    </row>
    <row r="34" spans="1:15" ht="31.5" customHeight="1" thickTop="1" thickBot="1" x14ac:dyDescent="0.4">
      <c r="A34" s="41" t="s">
        <v>45</v>
      </c>
      <c r="B34" s="37"/>
      <c r="C34" s="38">
        <f t="shared" ref="C34:O34" si="3">C33/0.9</f>
        <v>3189345.3111111107</v>
      </c>
      <c r="D34" s="38">
        <f t="shared" si="3"/>
        <v>3329498.8444444444</v>
      </c>
      <c r="E34" s="38">
        <f t="shared" si="3"/>
        <v>3469652.3777777776</v>
      </c>
      <c r="F34" s="38">
        <f t="shared" si="3"/>
        <v>3609805.9111111108</v>
      </c>
      <c r="G34" s="38">
        <f t="shared" si="3"/>
        <v>3749959.444444444</v>
      </c>
      <c r="H34" s="38">
        <f t="shared" si="3"/>
        <v>3890112.9777777772</v>
      </c>
      <c r="I34" s="38">
        <f t="shared" si="3"/>
        <v>4030266.5111111109</v>
      </c>
      <c r="J34" s="38">
        <f t="shared" si="3"/>
        <v>4030266.5111111109</v>
      </c>
      <c r="K34" s="38">
        <f t="shared" si="3"/>
        <v>4170420.0444444437</v>
      </c>
      <c r="L34" s="38">
        <f t="shared" si="3"/>
        <v>4310573.5777777778</v>
      </c>
      <c r="M34" s="38">
        <f t="shared" si="3"/>
        <v>4450727.111111111</v>
      </c>
      <c r="N34" s="39">
        <f t="shared" si="3"/>
        <v>4590880.6444444442</v>
      </c>
      <c r="O34" s="40">
        <f t="shared" si="3"/>
        <v>46821509.266666673</v>
      </c>
    </row>
    <row r="35" spans="1:15" ht="15.75" thickTop="1" x14ac:dyDescent="0.25"/>
    <row r="38" spans="1:15" ht="16.350000000000001" customHeight="1" x14ac:dyDescent="0.25"/>
  </sheetData>
  <mergeCells count="2">
    <mergeCell ref="A1:O1"/>
    <mergeCell ref="G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JPMC</vt:lpstr>
      <vt:lpstr>GULSHAN</vt:lpstr>
      <vt:lpstr>NAZIMABAD</vt:lpstr>
      <vt:lpstr>KHI CIVIL</vt:lpstr>
      <vt:lpstr>KORANGI</vt:lpstr>
      <vt:lpstr>KPH</vt:lpstr>
      <vt:lpstr>ASM 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2026-06-27T05:19:13Z</dcterms:modified>
</cp:coreProperties>
</file>